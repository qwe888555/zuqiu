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85AAA85-B61C-4074-9403-016F4195D693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总览" sheetId="1" r:id="rId1"/>
    <sheet name="分工总览" sheetId="3" r:id="rId2"/>
    <sheet name="每日排期" sheetId="4" r:id="rId3"/>
    <sheet name="成员1-组长前端" sheetId="5" r:id="rId4"/>
    <sheet name="成员2-底座后端" sheetId="6" r:id="rId5"/>
    <sheet name="成员3-报名审核" sheetId="7" r:id="rId6"/>
    <sheet name="成员4-人员球队" sheetId="8" r:id="rId7"/>
    <sheet name="成员5-赛事门户" sheetId="9" r:id="rId8"/>
    <sheet name="成员6-门户遴选" sheetId="10" r:id="rId9"/>
    <sheet name="优化后功能框架" sheetId="11" r:id="rId10"/>
    <sheet name="原244功能核对" sheetId="12" r:id="rId11"/>
    <sheet name="风险与砍法" sheetId="13" r:id="rId12"/>
  </sheets>
  <definedNames>
    <definedName name="_xlnm._FilterDatabase" localSheetId="9" hidden="1">优化后功能框架!$A$4:$O$37</definedName>
    <definedName name="_xlnm._FilterDatabase" localSheetId="10" hidden="1">原244功能核对!$A$4:$P$248</definedName>
    <definedName name="_xlnm.Print_Titles" localSheetId="3">'成员1-组长前端'!$5:$5</definedName>
    <definedName name="_xlnm.Print_Titles" localSheetId="4">'成员2-底座后端'!$5:$5</definedName>
    <definedName name="_xlnm.Print_Titles" localSheetId="5">'成员3-报名审核'!$5:$5</definedName>
    <definedName name="_xlnm.Print_Titles" localSheetId="6">'成员4-人员球队'!$5:$5</definedName>
    <definedName name="_xlnm.Print_Titles" localSheetId="7">'成员5-赛事门户'!$5:$5</definedName>
    <definedName name="_xlnm.Print_Titles" localSheetId="8">'成员6-门户遴选'!$5:$5</definedName>
    <definedName name="_xlnm.Print_Titles" localSheetId="1">分工总览!$4:$4</definedName>
    <definedName name="_xlnm.Print_Titles" localSheetId="2">每日排期!$4:$4</definedName>
    <definedName name="_xlnm.Print_Titles" localSheetId="9">优化后功能框架!$4:$4</definedName>
    <definedName name="_xlnm.Print_Titles" localSheetId="10">原244功能核对!$4:$4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48" i="12" l="1"/>
  <c r="M248" i="12"/>
  <c r="L248" i="12"/>
  <c r="K248" i="12"/>
  <c r="J248" i="12"/>
  <c r="I248" i="12"/>
  <c r="H248" i="12"/>
  <c r="N247" i="12"/>
  <c r="M247" i="12"/>
  <c r="L247" i="12"/>
  <c r="K247" i="12"/>
  <c r="J247" i="12"/>
  <c r="I247" i="12"/>
  <c r="H247" i="12"/>
  <c r="N246" i="12"/>
  <c r="M246" i="12"/>
  <c r="L246" i="12"/>
  <c r="K246" i="12"/>
  <c r="J246" i="12"/>
  <c r="I246" i="12"/>
  <c r="H246" i="12"/>
  <c r="N245" i="12"/>
  <c r="M245" i="12"/>
  <c r="L245" i="12"/>
  <c r="K245" i="12"/>
  <c r="J245" i="12"/>
  <c r="I245" i="12"/>
  <c r="H245" i="12"/>
  <c r="N244" i="12"/>
  <c r="M244" i="12"/>
  <c r="L244" i="12"/>
  <c r="K244" i="12"/>
  <c r="J244" i="12"/>
  <c r="I244" i="12"/>
  <c r="H244" i="12"/>
  <c r="N243" i="12"/>
  <c r="M243" i="12"/>
  <c r="L243" i="12"/>
  <c r="K243" i="12"/>
  <c r="J243" i="12"/>
  <c r="I243" i="12"/>
  <c r="H243" i="12"/>
  <c r="N242" i="12"/>
  <c r="M242" i="12"/>
  <c r="L242" i="12"/>
  <c r="K242" i="12"/>
  <c r="J242" i="12"/>
  <c r="I242" i="12"/>
  <c r="H242" i="12"/>
  <c r="N241" i="12"/>
  <c r="M241" i="12"/>
  <c r="L241" i="12"/>
  <c r="K241" i="12"/>
  <c r="J241" i="12"/>
  <c r="I241" i="12"/>
  <c r="H241" i="12"/>
  <c r="N240" i="12"/>
  <c r="M240" i="12"/>
  <c r="L240" i="12"/>
  <c r="K240" i="12"/>
  <c r="J240" i="12"/>
  <c r="I240" i="12"/>
  <c r="H240" i="12"/>
  <c r="N239" i="12"/>
  <c r="M239" i="12"/>
  <c r="L239" i="12"/>
  <c r="K239" i="12"/>
  <c r="J239" i="12"/>
  <c r="I239" i="12"/>
  <c r="H239" i="12"/>
  <c r="N238" i="12"/>
  <c r="M238" i="12"/>
  <c r="L238" i="12"/>
  <c r="K238" i="12"/>
  <c r="J238" i="12"/>
  <c r="I238" i="12"/>
  <c r="H238" i="12"/>
  <c r="N237" i="12"/>
  <c r="M237" i="12"/>
  <c r="L237" i="12"/>
  <c r="K237" i="12"/>
  <c r="J237" i="12"/>
  <c r="I237" i="12"/>
  <c r="H237" i="12"/>
  <c r="N236" i="12"/>
  <c r="M236" i="12"/>
  <c r="L236" i="12"/>
  <c r="K236" i="12"/>
  <c r="J236" i="12"/>
  <c r="I236" i="12"/>
  <c r="H236" i="12"/>
  <c r="N235" i="12"/>
  <c r="M235" i="12"/>
  <c r="L235" i="12"/>
  <c r="K235" i="12"/>
  <c r="J235" i="12"/>
  <c r="I235" i="12"/>
  <c r="H235" i="12"/>
  <c r="N234" i="12"/>
  <c r="M234" i="12"/>
  <c r="L234" i="12"/>
  <c r="K234" i="12"/>
  <c r="J234" i="12"/>
  <c r="I234" i="12"/>
  <c r="H234" i="12"/>
  <c r="N233" i="12"/>
  <c r="M233" i="12"/>
  <c r="L233" i="12"/>
  <c r="K233" i="12"/>
  <c r="J233" i="12"/>
  <c r="I233" i="12"/>
  <c r="H233" i="12"/>
  <c r="N232" i="12"/>
  <c r="M232" i="12"/>
  <c r="L232" i="12"/>
  <c r="K232" i="12"/>
  <c r="J232" i="12"/>
  <c r="I232" i="12"/>
  <c r="H232" i="12"/>
  <c r="N231" i="12"/>
  <c r="M231" i="12"/>
  <c r="L231" i="12"/>
  <c r="K231" i="12"/>
  <c r="J231" i="12"/>
  <c r="I231" i="12"/>
  <c r="H231" i="12"/>
  <c r="N230" i="12"/>
  <c r="M230" i="12"/>
  <c r="L230" i="12"/>
  <c r="K230" i="12"/>
  <c r="J230" i="12"/>
  <c r="I230" i="12"/>
  <c r="H230" i="12"/>
  <c r="N229" i="12"/>
  <c r="M229" i="12"/>
  <c r="L229" i="12"/>
  <c r="K229" i="12"/>
  <c r="J229" i="12"/>
  <c r="I229" i="12"/>
  <c r="H229" i="12"/>
  <c r="N228" i="12"/>
  <c r="M228" i="12"/>
  <c r="L228" i="12"/>
  <c r="K228" i="12"/>
  <c r="J228" i="12"/>
  <c r="I228" i="12"/>
  <c r="H228" i="12"/>
  <c r="N227" i="12"/>
  <c r="M227" i="12"/>
  <c r="L227" i="12"/>
  <c r="K227" i="12"/>
  <c r="J227" i="12"/>
  <c r="I227" i="12"/>
  <c r="H227" i="12"/>
  <c r="N226" i="12"/>
  <c r="M226" i="12"/>
  <c r="L226" i="12"/>
  <c r="K226" i="12"/>
  <c r="J226" i="12"/>
  <c r="I226" i="12"/>
  <c r="H226" i="12"/>
  <c r="N225" i="12"/>
  <c r="M225" i="12"/>
  <c r="L225" i="12"/>
  <c r="K225" i="12"/>
  <c r="J225" i="12"/>
  <c r="I225" i="12"/>
  <c r="H225" i="12"/>
  <c r="N224" i="12"/>
  <c r="M224" i="12"/>
  <c r="L224" i="12"/>
  <c r="K224" i="12"/>
  <c r="J224" i="12"/>
  <c r="I224" i="12"/>
  <c r="H224" i="12"/>
  <c r="N223" i="12"/>
  <c r="M223" i="12"/>
  <c r="L223" i="12"/>
  <c r="K223" i="12"/>
  <c r="J223" i="12"/>
  <c r="I223" i="12"/>
  <c r="H223" i="12"/>
  <c r="N222" i="12"/>
  <c r="M222" i="12"/>
  <c r="L222" i="12"/>
  <c r="K222" i="12"/>
  <c r="J222" i="12"/>
  <c r="I222" i="12"/>
  <c r="H222" i="12"/>
  <c r="N221" i="12"/>
  <c r="M221" i="12"/>
  <c r="L221" i="12"/>
  <c r="K221" i="12"/>
  <c r="J221" i="12"/>
  <c r="I221" i="12"/>
  <c r="H221" i="12"/>
  <c r="N220" i="12"/>
  <c r="M220" i="12"/>
  <c r="L220" i="12"/>
  <c r="K220" i="12"/>
  <c r="J220" i="12"/>
  <c r="I220" i="12"/>
  <c r="H220" i="12"/>
  <c r="N219" i="12"/>
  <c r="M219" i="12"/>
  <c r="L219" i="12"/>
  <c r="K219" i="12"/>
  <c r="J219" i="12"/>
  <c r="I219" i="12"/>
  <c r="H219" i="12"/>
  <c r="N218" i="12"/>
  <c r="M218" i="12"/>
  <c r="L218" i="12"/>
  <c r="K218" i="12"/>
  <c r="J218" i="12"/>
  <c r="I218" i="12"/>
  <c r="H218" i="12"/>
  <c r="N217" i="12"/>
  <c r="M217" i="12"/>
  <c r="L217" i="12"/>
  <c r="K217" i="12"/>
  <c r="J217" i="12"/>
  <c r="I217" i="12"/>
  <c r="H217" i="12"/>
  <c r="N216" i="12"/>
  <c r="M216" i="12"/>
  <c r="L216" i="12"/>
  <c r="K216" i="12"/>
  <c r="J216" i="12"/>
  <c r="I216" i="12"/>
  <c r="H216" i="12"/>
  <c r="N215" i="12"/>
  <c r="M215" i="12"/>
  <c r="L215" i="12"/>
  <c r="K215" i="12"/>
  <c r="J215" i="12"/>
  <c r="I215" i="12"/>
  <c r="H215" i="12"/>
  <c r="N214" i="12"/>
  <c r="M214" i="12"/>
  <c r="L214" i="12"/>
  <c r="K214" i="12"/>
  <c r="J214" i="12"/>
  <c r="I214" i="12"/>
  <c r="H214" i="12"/>
  <c r="N213" i="12"/>
  <c r="M213" i="12"/>
  <c r="L213" i="12"/>
  <c r="K213" i="12"/>
  <c r="J213" i="12"/>
  <c r="I213" i="12"/>
  <c r="H213" i="12"/>
  <c r="N212" i="12"/>
  <c r="M212" i="12"/>
  <c r="L212" i="12"/>
  <c r="K212" i="12"/>
  <c r="J212" i="12"/>
  <c r="I212" i="12"/>
  <c r="H212" i="12"/>
  <c r="N211" i="12"/>
  <c r="M211" i="12"/>
  <c r="L211" i="12"/>
  <c r="K211" i="12"/>
  <c r="J211" i="12"/>
  <c r="I211" i="12"/>
  <c r="H211" i="12"/>
  <c r="N210" i="12"/>
  <c r="M210" i="12"/>
  <c r="L210" i="12"/>
  <c r="K210" i="12"/>
  <c r="J210" i="12"/>
  <c r="I210" i="12"/>
  <c r="H210" i="12"/>
  <c r="N209" i="12"/>
  <c r="M209" i="12"/>
  <c r="L209" i="12"/>
  <c r="K209" i="12"/>
  <c r="J209" i="12"/>
  <c r="I209" i="12"/>
  <c r="H209" i="12"/>
  <c r="N208" i="12"/>
  <c r="M208" i="12"/>
  <c r="L208" i="12"/>
  <c r="K208" i="12"/>
  <c r="J208" i="12"/>
  <c r="I208" i="12"/>
  <c r="H208" i="12"/>
  <c r="N207" i="12"/>
  <c r="M207" i="12"/>
  <c r="L207" i="12"/>
  <c r="K207" i="12"/>
  <c r="J207" i="12"/>
  <c r="I207" i="12"/>
  <c r="H207" i="12"/>
  <c r="N206" i="12"/>
  <c r="M206" i="12"/>
  <c r="L206" i="12"/>
  <c r="K206" i="12"/>
  <c r="J206" i="12"/>
  <c r="I206" i="12"/>
  <c r="H206" i="12"/>
  <c r="N205" i="12"/>
  <c r="M205" i="12"/>
  <c r="L205" i="12"/>
  <c r="K205" i="12"/>
  <c r="J205" i="12"/>
  <c r="I205" i="12"/>
  <c r="H205" i="12"/>
  <c r="N204" i="12"/>
  <c r="M204" i="12"/>
  <c r="L204" i="12"/>
  <c r="K204" i="12"/>
  <c r="J204" i="12"/>
  <c r="I204" i="12"/>
  <c r="H204" i="12"/>
  <c r="N203" i="12"/>
  <c r="M203" i="12"/>
  <c r="L203" i="12"/>
  <c r="K203" i="12"/>
  <c r="J203" i="12"/>
  <c r="I203" i="12"/>
  <c r="H203" i="12"/>
  <c r="N202" i="12"/>
  <c r="M202" i="12"/>
  <c r="L202" i="12"/>
  <c r="K202" i="12"/>
  <c r="J202" i="12"/>
  <c r="I202" i="12"/>
  <c r="H202" i="12"/>
  <c r="N201" i="12"/>
  <c r="M201" i="12"/>
  <c r="L201" i="12"/>
  <c r="K201" i="12"/>
  <c r="J201" i="12"/>
  <c r="I201" i="12"/>
  <c r="H201" i="12"/>
  <c r="N200" i="12"/>
  <c r="M200" i="12"/>
  <c r="L200" i="12"/>
  <c r="K200" i="12"/>
  <c r="J200" i="12"/>
  <c r="I200" i="12"/>
  <c r="H200" i="12"/>
  <c r="N199" i="12"/>
  <c r="M199" i="12"/>
  <c r="L199" i="12"/>
  <c r="K199" i="12"/>
  <c r="J199" i="12"/>
  <c r="I199" i="12"/>
  <c r="H199" i="12"/>
  <c r="N198" i="12"/>
  <c r="M198" i="12"/>
  <c r="L198" i="12"/>
  <c r="K198" i="12"/>
  <c r="J198" i="12"/>
  <c r="I198" i="12"/>
  <c r="H198" i="12"/>
  <c r="N197" i="12"/>
  <c r="M197" i="12"/>
  <c r="L197" i="12"/>
  <c r="K197" i="12"/>
  <c r="J197" i="12"/>
  <c r="I197" i="12"/>
  <c r="H197" i="12"/>
  <c r="N196" i="12"/>
  <c r="M196" i="12"/>
  <c r="L196" i="12"/>
  <c r="K196" i="12"/>
  <c r="J196" i="12"/>
  <c r="I196" i="12"/>
  <c r="H196" i="12"/>
  <c r="N195" i="12"/>
  <c r="M195" i="12"/>
  <c r="L195" i="12"/>
  <c r="K195" i="12"/>
  <c r="J195" i="12"/>
  <c r="I195" i="12"/>
  <c r="H195" i="12"/>
  <c r="N194" i="12"/>
  <c r="M194" i="12"/>
  <c r="L194" i="12"/>
  <c r="K194" i="12"/>
  <c r="J194" i="12"/>
  <c r="I194" i="12"/>
  <c r="H194" i="12"/>
  <c r="N193" i="12"/>
  <c r="M193" i="12"/>
  <c r="L193" i="12"/>
  <c r="K193" i="12"/>
  <c r="J193" i="12"/>
  <c r="I193" i="12"/>
  <c r="H193" i="12"/>
  <c r="N192" i="12"/>
  <c r="M192" i="12"/>
  <c r="L192" i="12"/>
  <c r="K192" i="12"/>
  <c r="J192" i="12"/>
  <c r="I192" i="12"/>
  <c r="H192" i="12"/>
  <c r="N191" i="12"/>
  <c r="M191" i="12"/>
  <c r="L191" i="12"/>
  <c r="K191" i="12"/>
  <c r="J191" i="12"/>
  <c r="I191" i="12"/>
  <c r="H191" i="12"/>
  <c r="N190" i="12"/>
  <c r="M190" i="12"/>
  <c r="L190" i="12"/>
  <c r="K190" i="12"/>
  <c r="J190" i="12"/>
  <c r="I190" i="12"/>
  <c r="H190" i="12"/>
  <c r="N189" i="12"/>
  <c r="M189" i="12"/>
  <c r="L189" i="12"/>
  <c r="K189" i="12"/>
  <c r="J189" i="12"/>
  <c r="I189" i="12"/>
  <c r="H189" i="12"/>
  <c r="N188" i="12"/>
  <c r="M188" i="12"/>
  <c r="L188" i="12"/>
  <c r="K188" i="12"/>
  <c r="J188" i="12"/>
  <c r="I188" i="12"/>
  <c r="H188" i="12"/>
  <c r="N187" i="12"/>
  <c r="M187" i="12"/>
  <c r="L187" i="12"/>
  <c r="K187" i="12"/>
  <c r="J187" i="12"/>
  <c r="I187" i="12"/>
  <c r="H187" i="12"/>
  <c r="N186" i="12"/>
  <c r="M186" i="12"/>
  <c r="L186" i="12"/>
  <c r="K186" i="12"/>
  <c r="J186" i="12"/>
  <c r="I186" i="12"/>
  <c r="H186" i="12"/>
  <c r="N185" i="12"/>
  <c r="M185" i="12"/>
  <c r="L185" i="12"/>
  <c r="K185" i="12"/>
  <c r="J185" i="12"/>
  <c r="I185" i="12"/>
  <c r="H185" i="12"/>
  <c r="N184" i="12"/>
  <c r="M184" i="12"/>
  <c r="L184" i="12"/>
  <c r="K184" i="12"/>
  <c r="J184" i="12"/>
  <c r="I184" i="12"/>
  <c r="H184" i="12"/>
  <c r="N183" i="12"/>
  <c r="M183" i="12"/>
  <c r="L183" i="12"/>
  <c r="K183" i="12"/>
  <c r="J183" i="12"/>
  <c r="I183" i="12"/>
  <c r="H183" i="12"/>
  <c r="N182" i="12"/>
  <c r="M182" i="12"/>
  <c r="L182" i="12"/>
  <c r="K182" i="12"/>
  <c r="J182" i="12"/>
  <c r="I182" i="12"/>
  <c r="H182" i="12"/>
  <c r="N181" i="12"/>
  <c r="M181" i="12"/>
  <c r="L181" i="12"/>
  <c r="K181" i="12"/>
  <c r="J181" i="12"/>
  <c r="I181" i="12"/>
  <c r="H181" i="12"/>
  <c r="N180" i="12"/>
  <c r="M180" i="12"/>
  <c r="L180" i="12"/>
  <c r="K180" i="12"/>
  <c r="J180" i="12"/>
  <c r="I180" i="12"/>
  <c r="H180" i="12"/>
  <c r="N179" i="12"/>
  <c r="M179" i="12"/>
  <c r="L179" i="12"/>
  <c r="K179" i="12"/>
  <c r="J179" i="12"/>
  <c r="I179" i="12"/>
  <c r="H179" i="12"/>
  <c r="N178" i="12"/>
  <c r="M178" i="12"/>
  <c r="L178" i="12"/>
  <c r="K178" i="12"/>
  <c r="J178" i="12"/>
  <c r="I178" i="12"/>
  <c r="H178" i="12"/>
  <c r="N177" i="12"/>
  <c r="M177" i="12"/>
  <c r="L177" i="12"/>
  <c r="K177" i="12"/>
  <c r="J177" i="12"/>
  <c r="I177" i="12"/>
  <c r="H177" i="12"/>
  <c r="N176" i="12"/>
  <c r="M176" i="12"/>
  <c r="L176" i="12"/>
  <c r="K176" i="12"/>
  <c r="J176" i="12"/>
  <c r="I176" i="12"/>
  <c r="H176" i="12"/>
  <c r="N175" i="12"/>
  <c r="M175" i="12"/>
  <c r="L175" i="12"/>
  <c r="K175" i="12"/>
  <c r="J175" i="12"/>
  <c r="I175" i="12"/>
  <c r="H175" i="12"/>
  <c r="N174" i="12"/>
  <c r="M174" i="12"/>
  <c r="L174" i="12"/>
  <c r="K174" i="12"/>
  <c r="J174" i="12"/>
  <c r="I174" i="12"/>
  <c r="H174" i="12"/>
  <c r="N173" i="12"/>
  <c r="M173" i="12"/>
  <c r="L173" i="12"/>
  <c r="K173" i="12"/>
  <c r="J173" i="12"/>
  <c r="I173" i="12"/>
  <c r="H173" i="12"/>
  <c r="N172" i="12"/>
  <c r="M172" i="12"/>
  <c r="L172" i="12"/>
  <c r="K172" i="12"/>
  <c r="J172" i="12"/>
  <c r="I172" i="12"/>
  <c r="H172" i="12"/>
  <c r="N171" i="12"/>
  <c r="M171" i="12"/>
  <c r="L171" i="12"/>
  <c r="K171" i="12"/>
  <c r="J171" i="12"/>
  <c r="I171" i="12"/>
  <c r="H171" i="12"/>
  <c r="N170" i="12"/>
  <c r="M170" i="12"/>
  <c r="L170" i="12"/>
  <c r="K170" i="12"/>
  <c r="J170" i="12"/>
  <c r="I170" i="12"/>
  <c r="H170" i="12"/>
  <c r="N169" i="12"/>
  <c r="M169" i="12"/>
  <c r="L169" i="12"/>
  <c r="K169" i="12"/>
  <c r="J169" i="12"/>
  <c r="I169" i="12"/>
  <c r="H169" i="12"/>
  <c r="N168" i="12"/>
  <c r="M168" i="12"/>
  <c r="L168" i="12"/>
  <c r="K168" i="12"/>
  <c r="J168" i="12"/>
  <c r="I168" i="12"/>
  <c r="H168" i="12"/>
  <c r="N167" i="12"/>
  <c r="M167" i="12"/>
  <c r="L167" i="12"/>
  <c r="K167" i="12"/>
  <c r="J167" i="12"/>
  <c r="I167" i="12"/>
  <c r="H167" i="12"/>
  <c r="N166" i="12"/>
  <c r="M166" i="12"/>
  <c r="L166" i="12"/>
  <c r="K166" i="12"/>
  <c r="J166" i="12"/>
  <c r="I166" i="12"/>
  <c r="H166" i="12"/>
  <c r="N165" i="12"/>
  <c r="M165" i="12"/>
  <c r="L165" i="12"/>
  <c r="K165" i="12"/>
  <c r="J165" i="12"/>
  <c r="I165" i="12"/>
  <c r="H165" i="12"/>
  <c r="N164" i="12"/>
  <c r="M164" i="12"/>
  <c r="L164" i="12"/>
  <c r="K164" i="12"/>
  <c r="J164" i="12"/>
  <c r="I164" i="12"/>
  <c r="H164" i="12"/>
  <c r="N163" i="12"/>
  <c r="M163" i="12"/>
  <c r="L163" i="12"/>
  <c r="K163" i="12"/>
  <c r="J163" i="12"/>
  <c r="I163" i="12"/>
  <c r="H163" i="12"/>
  <c r="N162" i="12"/>
  <c r="M162" i="12"/>
  <c r="L162" i="12"/>
  <c r="K162" i="12"/>
  <c r="J162" i="12"/>
  <c r="I162" i="12"/>
  <c r="H162" i="12"/>
  <c r="N161" i="12"/>
  <c r="M161" i="12"/>
  <c r="L161" i="12"/>
  <c r="K161" i="12"/>
  <c r="J161" i="12"/>
  <c r="I161" i="12"/>
  <c r="H161" i="12"/>
  <c r="N160" i="12"/>
  <c r="M160" i="12"/>
  <c r="L160" i="12"/>
  <c r="K160" i="12"/>
  <c r="J160" i="12"/>
  <c r="I160" i="12"/>
  <c r="H160" i="12"/>
  <c r="N159" i="12"/>
  <c r="M159" i="12"/>
  <c r="L159" i="12"/>
  <c r="K159" i="12"/>
  <c r="J159" i="12"/>
  <c r="I159" i="12"/>
  <c r="H159" i="12"/>
  <c r="N158" i="12"/>
  <c r="M158" i="12"/>
  <c r="L158" i="12"/>
  <c r="K158" i="12"/>
  <c r="J158" i="12"/>
  <c r="I158" i="12"/>
  <c r="H158" i="12"/>
  <c r="N157" i="12"/>
  <c r="M157" i="12"/>
  <c r="L157" i="12"/>
  <c r="K157" i="12"/>
  <c r="J157" i="12"/>
  <c r="I157" i="12"/>
  <c r="H157" i="12"/>
  <c r="N156" i="12"/>
  <c r="M156" i="12"/>
  <c r="L156" i="12"/>
  <c r="K156" i="12"/>
  <c r="J156" i="12"/>
  <c r="I156" i="12"/>
  <c r="H156" i="12"/>
  <c r="N155" i="12"/>
  <c r="M155" i="12"/>
  <c r="L155" i="12"/>
  <c r="K155" i="12"/>
  <c r="J155" i="12"/>
  <c r="I155" i="12"/>
  <c r="H155" i="12"/>
  <c r="N154" i="12"/>
  <c r="M154" i="12"/>
  <c r="L154" i="12"/>
  <c r="K154" i="12"/>
  <c r="J154" i="12"/>
  <c r="I154" i="12"/>
  <c r="H154" i="12"/>
  <c r="N153" i="12"/>
  <c r="M153" i="12"/>
  <c r="L153" i="12"/>
  <c r="K153" i="12"/>
  <c r="J153" i="12"/>
  <c r="I153" i="12"/>
  <c r="H153" i="12"/>
  <c r="N152" i="12"/>
  <c r="M152" i="12"/>
  <c r="L152" i="12"/>
  <c r="K152" i="12"/>
  <c r="J152" i="12"/>
  <c r="I152" i="12"/>
  <c r="H152" i="12"/>
  <c r="N151" i="12"/>
  <c r="M151" i="12"/>
  <c r="L151" i="12"/>
  <c r="K151" i="12"/>
  <c r="J151" i="12"/>
  <c r="I151" i="12"/>
  <c r="H151" i="12"/>
  <c r="N150" i="12"/>
  <c r="M150" i="12"/>
  <c r="L150" i="12"/>
  <c r="K150" i="12"/>
  <c r="J150" i="12"/>
  <c r="I150" i="12"/>
  <c r="H150" i="12"/>
  <c r="N149" i="12"/>
  <c r="M149" i="12"/>
  <c r="L149" i="12"/>
  <c r="K149" i="12"/>
  <c r="J149" i="12"/>
  <c r="I149" i="12"/>
  <c r="H149" i="12"/>
  <c r="N148" i="12"/>
  <c r="M148" i="12"/>
  <c r="L148" i="12"/>
  <c r="K148" i="12"/>
  <c r="J148" i="12"/>
  <c r="I148" i="12"/>
  <c r="H148" i="12"/>
  <c r="N147" i="12"/>
  <c r="M147" i="12"/>
  <c r="L147" i="12"/>
  <c r="K147" i="12"/>
  <c r="J147" i="12"/>
  <c r="I147" i="12"/>
  <c r="H147" i="12"/>
  <c r="N146" i="12"/>
  <c r="M146" i="12"/>
  <c r="L146" i="12"/>
  <c r="K146" i="12"/>
  <c r="J146" i="12"/>
  <c r="I146" i="12"/>
  <c r="H146" i="12"/>
  <c r="N145" i="12"/>
  <c r="M145" i="12"/>
  <c r="L145" i="12"/>
  <c r="K145" i="12"/>
  <c r="J145" i="12"/>
  <c r="I145" i="12"/>
  <c r="H145" i="12"/>
  <c r="N144" i="12"/>
  <c r="M144" i="12"/>
  <c r="L144" i="12"/>
  <c r="K144" i="12"/>
  <c r="J144" i="12"/>
  <c r="I144" i="12"/>
  <c r="H144" i="12"/>
  <c r="N143" i="12"/>
  <c r="M143" i="12"/>
  <c r="L143" i="12"/>
  <c r="K143" i="12"/>
  <c r="J143" i="12"/>
  <c r="I143" i="12"/>
  <c r="H143" i="12"/>
  <c r="N142" i="12"/>
  <c r="M142" i="12"/>
  <c r="L142" i="12"/>
  <c r="K142" i="12"/>
  <c r="J142" i="12"/>
  <c r="I142" i="12"/>
  <c r="H142" i="12"/>
  <c r="N141" i="12"/>
  <c r="M141" i="12"/>
  <c r="L141" i="12"/>
  <c r="K141" i="12"/>
  <c r="J141" i="12"/>
  <c r="I141" i="12"/>
  <c r="H141" i="12"/>
  <c r="N140" i="12"/>
  <c r="M140" i="12"/>
  <c r="L140" i="12"/>
  <c r="K140" i="12"/>
  <c r="J140" i="12"/>
  <c r="I140" i="12"/>
  <c r="H140" i="12"/>
  <c r="N139" i="12"/>
  <c r="M139" i="12"/>
  <c r="L139" i="12"/>
  <c r="K139" i="12"/>
  <c r="J139" i="12"/>
  <c r="I139" i="12"/>
  <c r="H139" i="12"/>
  <c r="N138" i="12"/>
  <c r="M138" i="12"/>
  <c r="L138" i="12"/>
  <c r="K138" i="12"/>
  <c r="J138" i="12"/>
  <c r="I138" i="12"/>
  <c r="H138" i="12"/>
  <c r="N137" i="12"/>
  <c r="M137" i="12"/>
  <c r="L137" i="12"/>
  <c r="K137" i="12"/>
  <c r="J137" i="12"/>
  <c r="I137" i="12"/>
  <c r="H137" i="12"/>
  <c r="N136" i="12"/>
  <c r="M136" i="12"/>
  <c r="L136" i="12"/>
  <c r="K136" i="12"/>
  <c r="J136" i="12"/>
  <c r="I136" i="12"/>
  <c r="H136" i="12"/>
  <c r="N135" i="12"/>
  <c r="M135" i="12"/>
  <c r="L135" i="12"/>
  <c r="K135" i="12"/>
  <c r="J135" i="12"/>
  <c r="I135" i="12"/>
  <c r="H135" i="12"/>
  <c r="N134" i="12"/>
  <c r="M134" i="12"/>
  <c r="L134" i="12"/>
  <c r="K134" i="12"/>
  <c r="J134" i="12"/>
  <c r="I134" i="12"/>
  <c r="H134" i="12"/>
  <c r="N133" i="12"/>
  <c r="M133" i="12"/>
  <c r="L133" i="12"/>
  <c r="K133" i="12"/>
  <c r="J133" i="12"/>
  <c r="I133" i="12"/>
  <c r="H133" i="12"/>
  <c r="N132" i="12"/>
  <c r="M132" i="12"/>
  <c r="L132" i="12"/>
  <c r="K132" i="12"/>
  <c r="J132" i="12"/>
  <c r="I132" i="12"/>
  <c r="H132" i="12"/>
  <c r="N131" i="12"/>
  <c r="M131" i="12"/>
  <c r="L131" i="12"/>
  <c r="K131" i="12"/>
  <c r="J131" i="12"/>
  <c r="I131" i="12"/>
  <c r="H131" i="12"/>
  <c r="N130" i="12"/>
  <c r="M130" i="12"/>
  <c r="L130" i="12"/>
  <c r="K130" i="12"/>
  <c r="J130" i="12"/>
  <c r="I130" i="12"/>
  <c r="H130" i="12"/>
  <c r="N129" i="12"/>
  <c r="M129" i="12"/>
  <c r="L129" i="12"/>
  <c r="K129" i="12"/>
  <c r="J129" i="12"/>
  <c r="I129" i="12"/>
  <c r="H129" i="12"/>
  <c r="N128" i="12"/>
  <c r="M128" i="12"/>
  <c r="L128" i="12"/>
  <c r="K128" i="12"/>
  <c r="J128" i="12"/>
  <c r="I128" i="12"/>
  <c r="H128" i="12"/>
  <c r="N127" i="12"/>
  <c r="M127" i="12"/>
  <c r="L127" i="12"/>
  <c r="K127" i="12"/>
  <c r="J127" i="12"/>
  <c r="I127" i="12"/>
  <c r="H127" i="12"/>
  <c r="N126" i="12"/>
  <c r="M126" i="12"/>
  <c r="L126" i="12"/>
  <c r="K126" i="12"/>
  <c r="J126" i="12"/>
  <c r="I126" i="12"/>
  <c r="H126" i="12"/>
  <c r="N125" i="12"/>
  <c r="M125" i="12"/>
  <c r="L125" i="12"/>
  <c r="K125" i="12"/>
  <c r="J125" i="12"/>
  <c r="I125" i="12"/>
  <c r="H125" i="12"/>
  <c r="N124" i="12"/>
  <c r="M124" i="12"/>
  <c r="L124" i="12"/>
  <c r="K124" i="12"/>
  <c r="J124" i="12"/>
  <c r="I124" i="12"/>
  <c r="H124" i="12"/>
  <c r="N123" i="12"/>
  <c r="M123" i="12"/>
  <c r="L123" i="12"/>
  <c r="K123" i="12"/>
  <c r="J123" i="12"/>
  <c r="I123" i="12"/>
  <c r="H123" i="12"/>
  <c r="N122" i="12"/>
  <c r="M122" i="12"/>
  <c r="L122" i="12"/>
  <c r="K122" i="12"/>
  <c r="J122" i="12"/>
  <c r="I122" i="12"/>
  <c r="H122" i="12"/>
  <c r="N121" i="12"/>
  <c r="M121" i="12"/>
  <c r="L121" i="12"/>
  <c r="K121" i="12"/>
  <c r="J121" i="12"/>
  <c r="I121" i="12"/>
  <c r="H121" i="12"/>
  <c r="N120" i="12"/>
  <c r="M120" i="12"/>
  <c r="L120" i="12"/>
  <c r="K120" i="12"/>
  <c r="J120" i="12"/>
  <c r="I120" i="12"/>
  <c r="H120" i="12"/>
  <c r="N119" i="12"/>
  <c r="M119" i="12"/>
  <c r="L119" i="12"/>
  <c r="K119" i="12"/>
  <c r="J119" i="12"/>
  <c r="I119" i="12"/>
  <c r="H119" i="12"/>
  <c r="N118" i="12"/>
  <c r="M118" i="12"/>
  <c r="L118" i="12"/>
  <c r="K118" i="12"/>
  <c r="J118" i="12"/>
  <c r="I118" i="12"/>
  <c r="H118" i="12"/>
  <c r="N117" i="12"/>
  <c r="M117" i="12"/>
  <c r="L117" i="12"/>
  <c r="K117" i="12"/>
  <c r="J117" i="12"/>
  <c r="I117" i="12"/>
  <c r="H117" i="12"/>
  <c r="N116" i="12"/>
  <c r="M116" i="12"/>
  <c r="L116" i="12"/>
  <c r="K116" i="12"/>
  <c r="J116" i="12"/>
  <c r="I116" i="12"/>
  <c r="H116" i="12"/>
  <c r="N115" i="12"/>
  <c r="M115" i="12"/>
  <c r="L115" i="12"/>
  <c r="K115" i="12"/>
  <c r="J115" i="12"/>
  <c r="I115" i="12"/>
  <c r="H115" i="12"/>
  <c r="N114" i="12"/>
  <c r="M114" i="12"/>
  <c r="L114" i="12"/>
  <c r="K114" i="12"/>
  <c r="J114" i="12"/>
  <c r="I114" i="12"/>
  <c r="H114" i="12"/>
  <c r="N113" i="12"/>
  <c r="M113" i="12"/>
  <c r="L113" i="12"/>
  <c r="K113" i="12"/>
  <c r="J113" i="12"/>
  <c r="I113" i="12"/>
  <c r="H113" i="12"/>
  <c r="N112" i="12"/>
  <c r="M112" i="12"/>
  <c r="L112" i="12"/>
  <c r="K112" i="12"/>
  <c r="J112" i="12"/>
  <c r="I112" i="12"/>
  <c r="H112" i="12"/>
  <c r="N111" i="12"/>
  <c r="M111" i="12"/>
  <c r="L111" i="12"/>
  <c r="K111" i="12"/>
  <c r="J111" i="12"/>
  <c r="I111" i="12"/>
  <c r="H111" i="12"/>
  <c r="N110" i="12"/>
  <c r="M110" i="12"/>
  <c r="L110" i="12"/>
  <c r="K110" i="12"/>
  <c r="J110" i="12"/>
  <c r="I110" i="12"/>
  <c r="H110" i="12"/>
  <c r="N109" i="12"/>
  <c r="M109" i="12"/>
  <c r="L109" i="12"/>
  <c r="K109" i="12"/>
  <c r="J109" i="12"/>
  <c r="I109" i="12"/>
  <c r="H109" i="12"/>
  <c r="N108" i="12"/>
  <c r="M108" i="12"/>
  <c r="L108" i="12"/>
  <c r="K108" i="12"/>
  <c r="J108" i="12"/>
  <c r="I108" i="12"/>
  <c r="H108" i="12"/>
  <c r="N107" i="12"/>
  <c r="M107" i="12"/>
  <c r="L107" i="12"/>
  <c r="K107" i="12"/>
  <c r="J107" i="12"/>
  <c r="I107" i="12"/>
  <c r="H107" i="12"/>
  <c r="N106" i="12"/>
  <c r="M106" i="12"/>
  <c r="L106" i="12"/>
  <c r="K106" i="12"/>
  <c r="J106" i="12"/>
  <c r="I106" i="12"/>
  <c r="H106" i="12"/>
  <c r="N105" i="12"/>
  <c r="M105" i="12"/>
  <c r="L105" i="12"/>
  <c r="K105" i="12"/>
  <c r="J105" i="12"/>
  <c r="I105" i="12"/>
  <c r="H105" i="12"/>
  <c r="N104" i="12"/>
  <c r="M104" i="12"/>
  <c r="L104" i="12"/>
  <c r="K104" i="12"/>
  <c r="J104" i="12"/>
  <c r="I104" i="12"/>
  <c r="H104" i="12"/>
  <c r="N103" i="12"/>
  <c r="M103" i="12"/>
  <c r="L103" i="12"/>
  <c r="K103" i="12"/>
  <c r="J103" i="12"/>
  <c r="I103" i="12"/>
  <c r="H103" i="12"/>
  <c r="N102" i="12"/>
  <c r="M102" i="12"/>
  <c r="L102" i="12"/>
  <c r="K102" i="12"/>
  <c r="J102" i="12"/>
  <c r="I102" i="12"/>
  <c r="H102" i="12"/>
  <c r="N101" i="12"/>
  <c r="M101" i="12"/>
  <c r="L101" i="12"/>
  <c r="K101" i="12"/>
  <c r="J101" i="12"/>
  <c r="I101" i="12"/>
  <c r="H101" i="12"/>
  <c r="N100" i="12"/>
  <c r="M100" i="12"/>
  <c r="L100" i="12"/>
  <c r="K100" i="12"/>
  <c r="J100" i="12"/>
  <c r="I100" i="12"/>
  <c r="H100" i="12"/>
  <c r="N99" i="12"/>
  <c r="M99" i="12"/>
  <c r="L99" i="12"/>
  <c r="K99" i="12"/>
  <c r="J99" i="12"/>
  <c r="I99" i="12"/>
  <c r="H99" i="12"/>
  <c r="N98" i="12"/>
  <c r="M98" i="12"/>
  <c r="L98" i="12"/>
  <c r="K98" i="12"/>
  <c r="J98" i="12"/>
  <c r="I98" i="12"/>
  <c r="H98" i="12"/>
  <c r="N97" i="12"/>
  <c r="M97" i="12"/>
  <c r="L97" i="12"/>
  <c r="K97" i="12"/>
  <c r="J97" i="12"/>
  <c r="I97" i="12"/>
  <c r="H97" i="12"/>
  <c r="N96" i="12"/>
  <c r="M96" i="12"/>
  <c r="L96" i="12"/>
  <c r="K96" i="12"/>
  <c r="J96" i="12"/>
  <c r="I96" i="12"/>
  <c r="H96" i="12"/>
  <c r="N95" i="12"/>
  <c r="M95" i="12"/>
  <c r="L95" i="12"/>
  <c r="K95" i="12"/>
  <c r="J95" i="12"/>
  <c r="I95" i="12"/>
  <c r="H95" i="12"/>
  <c r="N94" i="12"/>
  <c r="M94" i="12"/>
  <c r="L94" i="12"/>
  <c r="K94" i="12"/>
  <c r="J94" i="12"/>
  <c r="I94" i="12"/>
  <c r="H94" i="12"/>
  <c r="N93" i="12"/>
  <c r="M93" i="12"/>
  <c r="L93" i="12"/>
  <c r="K93" i="12"/>
  <c r="J93" i="12"/>
  <c r="I93" i="12"/>
  <c r="H93" i="12"/>
  <c r="N92" i="12"/>
  <c r="M92" i="12"/>
  <c r="L92" i="12"/>
  <c r="K92" i="12"/>
  <c r="J92" i="12"/>
  <c r="I92" i="12"/>
  <c r="H92" i="12"/>
  <c r="N91" i="12"/>
  <c r="M91" i="12"/>
  <c r="L91" i="12"/>
  <c r="K91" i="12"/>
  <c r="J91" i="12"/>
  <c r="I91" i="12"/>
  <c r="H91" i="12"/>
  <c r="N90" i="12"/>
  <c r="M90" i="12"/>
  <c r="L90" i="12"/>
  <c r="K90" i="12"/>
  <c r="J90" i="12"/>
  <c r="I90" i="12"/>
  <c r="H90" i="12"/>
  <c r="N89" i="12"/>
  <c r="M89" i="12"/>
  <c r="L89" i="12"/>
  <c r="K89" i="12"/>
  <c r="J89" i="12"/>
  <c r="I89" i="12"/>
  <c r="H89" i="12"/>
  <c r="N88" i="12"/>
  <c r="M88" i="12"/>
  <c r="L88" i="12"/>
  <c r="K88" i="12"/>
  <c r="J88" i="12"/>
  <c r="I88" i="12"/>
  <c r="H88" i="12"/>
  <c r="N87" i="12"/>
  <c r="M87" i="12"/>
  <c r="L87" i="12"/>
  <c r="K87" i="12"/>
  <c r="J87" i="12"/>
  <c r="I87" i="12"/>
  <c r="H87" i="12"/>
  <c r="N86" i="12"/>
  <c r="M86" i="12"/>
  <c r="L86" i="12"/>
  <c r="K86" i="12"/>
  <c r="J86" i="12"/>
  <c r="I86" i="12"/>
  <c r="H86" i="12"/>
  <c r="N85" i="12"/>
  <c r="M85" i="12"/>
  <c r="L85" i="12"/>
  <c r="K85" i="12"/>
  <c r="J85" i="12"/>
  <c r="I85" i="12"/>
  <c r="H85" i="12"/>
  <c r="N84" i="12"/>
  <c r="M84" i="12"/>
  <c r="L84" i="12"/>
  <c r="K84" i="12"/>
  <c r="J84" i="12"/>
  <c r="I84" i="12"/>
  <c r="H84" i="12"/>
  <c r="N83" i="12"/>
  <c r="M83" i="12"/>
  <c r="L83" i="12"/>
  <c r="K83" i="12"/>
  <c r="J83" i="12"/>
  <c r="I83" i="12"/>
  <c r="H83" i="12"/>
  <c r="N82" i="12"/>
  <c r="M82" i="12"/>
  <c r="L82" i="12"/>
  <c r="K82" i="12"/>
  <c r="J82" i="12"/>
  <c r="I82" i="12"/>
  <c r="H82" i="12"/>
  <c r="N81" i="12"/>
  <c r="M81" i="12"/>
  <c r="L81" i="12"/>
  <c r="K81" i="12"/>
  <c r="J81" i="12"/>
  <c r="I81" i="12"/>
  <c r="H81" i="12"/>
  <c r="N80" i="12"/>
  <c r="M80" i="12"/>
  <c r="L80" i="12"/>
  <c r="K80" i="12"/>
  <c r="J80" i="12"/>
  <c r="I80" i="12"/>
  <c r="H80" i="12"/>
  <c r="N79" i="12"/>
  <c r="M79" i="12"/>
  <c r="L79" i="12"/>
  <c r="K79" i="12"/>
  <c r="J79" i="12"/>
  <c r="I79" i="12"/>
  <c r="H79" i="12"/>
  <c r="N78" i="12"/>
  <c r="M78" i="12"/>
  <c r="L78" i="12"/>
  <c r="K78" i="12"/>
  <c r="J78" i="12"/>
  <c r="I78" i="12"/>
  <c r="H78" i="12"/>
  <c r="N77" i="12"/>
  <c r="M77" i="12"/>
  <c r="L77" i="12"/>
  <c r="K77" i="12"/>
  <c r="J77" i="12"/>
  <c r="I77" i="12"/>
  <c r="H77" i="12"/>
  <c r="N76" i="12"/>
  <c r="M76" i="12"/>
  <c r="L76" i="12"/>
  <c r="K76" i="12"/>
  <c r="J76" i="12"/>
  <c r="I76" i="12"/>
  <c r="H76" i="12"/>
  <c r="N75" i="12"/>
  <c r="M75" i="12"/>
  <c r="L75" i="12"/>
  <c r="K75" i="12"/>
  <c r="J75" i="12"/>
  <c r="I75" i="12"/>
  <c r="H75" i="12"/>
  <c r="N74" i="12"/>
  <c r="M74" i="12"/>
  <c r="L74" i="12"/>
  <c r="K74" i="12"/>
  <c r="J74" i="12"/>
  <c r="I74" i="12"/>
  <c r="H74" i="12"/>
  <c r="N73" i="12"/>
  <c r="M73" i="12"/>
  <c r="L73" i="12"/>
  <c r="K73" i="12"/>
  <c r="J73" i="12"/>
  <c r="I73" i="12"/>
  <c r="H73" i="12"/>
  <c r="N72" i="12"/>
  <c r="M72" i="12"/>
  <c r="L72" i="12"/>
  <c r="K72" i="12"/>
  <c r="J72" i="12"/>
  <c r="I72" i="12"/>
  <c r="H72" i="12"/>
  <c r="N71" i="12"/>
  <c r="M71" i="12"/>
  <c r="L71" i="12"/>
  <c r="K71" i="12"/>
  <c r="J71" i="12"/>
  <c r="I71" i="12"/>
  <c r="H71" i="12"/>
  <c r="N70" i="12"/>
  <c r="M70" i="12"/>
  <c r="L70" i="12"/>
  <c r="K70" i="12"/>
  <c r="J70" i="12"/>
  <c r="I70" i="12"/>
  <c r="H70" i="12"/>
  <c r="N69" i="12"/>
  <c r="M69" i="12"/>
  <c r="L69" i="12"/>
  <c r="K69" i="12"/>
  <c r="J69" i="12"/>
  <c r="I69" i="12"/>
  <c r="H69" i="12"/>
  <c r="N68" i="12"/>
  <c r="M68" i="12"/>
  <c r="L68" i="12"/>
  <c r="K68" i="12"/>
  <c r="J68" i="12"/>
  <c r="I68" i="12"/>
  <c r="H68" i="12"/>
  <c r="N67" i="12"/>
  <c r="M67" i="12"/>
  <c r="L67" i="12"/>
  <c r="K67" i="12"/>
  <c r="J67" i="12"/>
  <c r="I67" i="12"/>
  <c r="H67" i="12"/>
  <c r="N66" i="12"/>
  <c r="M66" i="12"/>
  <c r="L66" i="12"/>
  <c r="K66" i="12"/>
  <c r="J66" i="12"/>
  <c r="I66" i="12"/>
  <c r="H66" i="12"/>
  <c r="N65" i="12"/>
  <c r="M65" i="12"/>
  <c r="L65" i="12"/>
  <c r="K65" i="12"/>
  <c r="J65" i="12"/>
  <c r="I65" i="12"/>
  <c r="H65" i="12"/>
  <c r="N64" i="12"/>
  <c r="M64" i="12"/>
  <c r="L64" i="12"/>
  <c r="K64" i="12"/>
  <c r="J64" i="12"/>
  <c r="I64" i="12"/>
  <c r="H64" i="12"/>
  <c r="N63" i="12"/>
  <c r="M63" i="12"/>
  <c r="L63" i="12"/>
  <c r="K63" i="12"/>
  <c r="J63" i="12"/>
  <c r="I63" i="12"/>
  <c r="H63" i="12"/>
  <c r="N62" i="12"/>
  <c r="M62" i="12"/>
  <c r="L62" i="12"/>
  <c r="K62" i="12"/>
  <c r="J62" i="12"/>
  <c r="I62" i="12"/>
  <c r="H62" i="12"/>
  <c r="N61" i="12"/>
  <c r="M61" i="12"/>
  <c r="L61" i="12"/>
  <c r="K61" i="12"/>
  <c r="J61" i="12"/>
  <c r="I61" i="12"/>
  <c r="H61" i="12"/>
  <c r="N60" i="12"/>
  <c r="M60" i="12"/>
  <c r="L60" i="12"/>
  <c r="K60" i="12"/>
  <c r="J60" i="12"/>
  <c r="I60" i="12"/>
  <c r="H60" i="12"/>
  <c r="N59" i="12"/>
  <c r="M59" i="12"/>
  <c r="L59" i="12"/>
  <c r="K59" i="12"/>
  <c r="J59" i="12"/>
  <c r="I59" i="12"/>
  <c r="H59" i="12"/>
  <c r="N58" i="12"/>
  <c r="M58" i="12"/>
  <c r="L58" i="12"/>
  <c r="K58" i="12"/>
  <c r="J58" i="12"/>
  <c r="I58" i="12"/>
  <c r="H58" i="12"/>
  <c r="N57" i="12"/>
  <c r="M57" i="12"/>
  <c r="L57" i="12"/>
  <c r="K57" i="12"/>
  <c r="J57" i="12"/>
  <c r="I57" i="12"/>
  <c r="H57" i="12"/>
  <c r="N56" i="12"/>
  <c r="M56" i="12"/>
  <c r="L56" i="12"/>
  <c r="K56" i="12"/>
  <c r="J56" i="12"/>
  <c r="I56" i="12"/>
  <c r="H56" i="12"/>
  <c r="N55" i="12"/>
  <c r="M55" i="12"/>
  <c r="L55" i="12"/>
  <c r="K55" i="12"/>
  <c r="J55" i="12"/>
  <c r="I55" i="12"/>
  <c r="H55" i="12"/>
  <c r="N54" i="12"/>
  <c r="M54" i="12"/>
  <c r="L54" i="12"/>
  <c r="K54" i="12"/>
  <c r="J54" i="12"/>
  <c r="I54" i="12"/>
  <c r="H54" i="12"/>
  <c r="N53" i="12"/>
  <c r="M53" i="12"/>
  <c r="L53" i="12"/>
  <c r="K53" i="12"/>
  <c r="J53" i="12"/>
  <c r="I53" i="12"/>
  <c r="H53" i="12"/>
  <c r="N52" i="12"/>
  <c r="M52" i="12"/>
  <c r="L52" i="12"/>
  <c r="K52" i="12"/>
  <c r="J52" i="12"/>
  <c r="I52" i="12"/>
  <c r="H52" i="12"/>
  <c r="N51" i="12"/>
  <c r="M51" i="12"/>
  <c r="L51" i="12"/>
  <c r="K51" i="12"/>
  <c r="J51" i="12"/>
  <c r="I51" i="12"/>
  <c r="H51" i="12"/>
  <c r="N50" i="12"/>
  <c r="M50" i="12"/>
  <c r="L50" i="12"/>
  <c r="K50" i="12"/>
  <c r="J50" i="12"/>
  <c r="I50" i="12"/>
  <c r="H50" i="12"/>
  <c r="N49" i="12"/>
  <c r="M49" i="12"/>
  <c r="L49" i="12"/>
  <c r="K49" i="12"/>
  <c r="J49" i="12"/>
  <c r="I49" i="12"/>
  <c r="H49" i="12"/>
  <c r="N48" i="12"/>
  <c r="M48" i="12"/>
  <c r="L48" i="12"/>
  <c r="K48" i="12"/>
  <c r="J48" i="12"/>
  <c r="I48" i="12"/>
  <c r="H48" i="12"/>
  <c r="N47" i="12"/>
  <c r="M47" i="12"/>
  <c r="L47" i="12"/>
  <c r="K47" i="12"/>
  <c r="J47" i="12"/>
  <c r="I47" i="12"/>
  <c r="H47" i="12"/>
  <c r="N46" i="12"/>
  <c r="M46" i="12"/>
  <c r="L46" i="12"/>
  <c r="K46" i="12"/>
  <c r="J46" i="12"/>
  <c r="I46" i="12"/>
  <c r="H46" i="12"/>
  <c r="N45" i="12"/>
  <c r="M45" i="12"/>
  <c r="L45" i="12"/>
  <c r="K45" i="12"/>
  <c r="J45" i="12"/>
  <c r="I45" i="12"/>
  <c r="H45" i="12"/>
  <c r="N44" i="12"/>
  <c r="M44" i="12"/>
  <c r="L44" i="12"/>
  <c r="K44" i="12"/>
  <c r="J44" i="12"/>
  <c r="I44" i="12"/>
  <c r="H44" i="12"/>
  <c r="N43" i="12"/>
  <c r="M43" i="12"/>
  <c r="L43" i="12"/>
  <c r="K43" i="12"/>
  <c r="J43" i="12"/>
  <c r="I43" i="12"/>
  <c r="H43" i="12"/>
  <c r="N42" i="12"/>
  <c r="M42" i="12"/>
  <c r="L42" i="12"/>
  <c r="K42" i="12"/>
  <c r="J42" i="12"/>
  <c r="I42" i="12"/>
  <c r="H42" i="12"/>
  <c r="N41" i="12"/>
  <c r="M41" i="12"/>
  <c r="L41" i="12"/>
  <c r="K41" i="12"/>
  <c r="J41" i="12"/>
  <c r="I41" i="12"/>
  <c r="H41" i="12"/>
  <c r="N40" i="12"/>
  <c r="M40" i="12"/>
  <c r="L40" i="12"/>
  <c r="K40" i="12"/>
  <c r="J40" i="12"/>
  <c r="I40" i="12"/>
  <c r="H40" i="12"/>
  <c r="N39" i="12"/>
  <c r="M39" i="12"/>
  <c r="L39" i="12"/>
  <c r="K39" i="12"/>
  <c r="J39" i="12"/>
  <c r="I39" i="12"/>
  <c r="H39" i="12"/>
  <c r="N38" i="12"/>
  <c r="M38" i="12"/>
  <c r="L38" i="12"/>
  <c r="K38" i="12"/>
  <c r="J38" i="12"/>
  <c r="I38" i="12"/>
  <c r="H38" i="12"/>
  <c r="N37" i="12"/>
  <c r="M37" i="12"/>
  <c r="L37" i="12"/>
  <c r="K37" i="12"/>
  <c r="J37" i="12"/>
  <c r="I37" i="12"/>
  <c r="H37" i="12"/>
  <c r="N36" i="12"/>
  <c r="M36" i="12"/>
  <c r="L36" i="12"/>
  <c r="K36" i="12"/>
  <c r="J36" i="12"/>
  <c r="I36" i="12"/>
  <c r="H36" i="12"/>
  <c r="N35" i="12"/>
  <c r="M35" i="12"/>
  <c r="L35" i="12"/>
  <c r="K35" i="12"/>
  <c r="J35" i="12"/>
  <c r="I35" i="12"/>
  <c r="H35" i="12"/>
  <c r="N34" i="12"/>
  <c r="M34" i="12"/>
  <c r="L34" i="12"/>
  <c r="K34" i="12"/>
  <c r="J34" i="12"/>
  <c r="I34" i="12"/>
  <c r="H34" i="12"/>
  <c r="N33" i="12"/>
  <c r="M33" i="12"/>
  <c r="L33" i="12"/>
  <c r="K33" i="12"/>
  <c r="J33" i="12"/>
  <c r="I33" i="12"/>
  <c r="H33" i="12"/>
  <c r="N32" i="12"/>
  <c r="M32" i="12"/>
  <c r="L32" i="12"/>
  <c r="K32" i="12"/>
  <c r="J32" i="12"/>
  <c r="I32" i="12"/>
  <c r="H32" i="12"/>
  <c r="N31" i="12"/>
  <c r="M31" i="12"/>
  <c r="L31" i="12"/>
  <c r="K31" i="12"/>
  <c r="J31" i="12"/>
  <c r="I31" i="12"/>
  <c r="H31" i="12"/>
  <c r="N30" i="12"/>
  <c r="M30" i="12"/>
  <c r="L30" i="12"/>
  <c r="K30" i="12"/>
  <c r="J30" i="12"/>
  <c r="I30" i="12"/>
  <c r="H30" i="12"/>
  <c r="N29" i="12"/>
  <c r="M29" i="12"/>
  <c r="L29" i="12"/>
  <c r="K29" i="12"/>
  <c r="J29" i="12"/>
  <c r="I29" i="12"/>
  <c r="H29" i="12"/>
  <c r="N28" i="12"/>
  <c r="M28" i="12"/>
  <c r="L28" i="12"/>
  <c r="K28" i="12"/>
  <c r="J28" i="12"/>
  <c r="I28" i="12"/>
  <c r="H28" i="12"/>
  <c r="N27" i="12"/>
  <c r="M27" i="12"/>
  <c r="L27" i="12"/>
  <c r="K27" i="12"/>
  <c r="J27" i="12"/>
  <c r="I27" i="12"/>
  <c r="H27" i="12"/>
  <c r="N26" i="12"/>
  <c r="M26" i="12"/>
  <c r="L26" i="12"/>
  <c r="K26" i="12"/>
  <c r="J26" i="12"/>
  <c r="I26" i="12"/>
  <c r="H26" i="12"/>
  <c r="N25" i="12"/>
  <c r="M25" i="12"/>
  <c r="L25" i="12"/>
  <c r="K25" i="12"/>
  <c r="J25" i="12"/>
  <c r="I25" i="12"/>
  <c r="H25" i="12"/>
  <c r="N24" i="12"/>
  <c r="M24" i="12"/>
  <c r="L24" i="12"/>
  <c r="K24" i="12"/>
  <c r="J24" i="12"/>
  <c r="I24" i="12"/>
  <c r="H24" i="12"/>
  <c r="N23" i="12"/>
  <c r="M23" i="12"/>
  <c r="L23" i="12"/>
  <c r="K23" i="12"/>
  <c r="J23" i="12"/>
  <c r="I23" i="12"/>
  <c r="H23" i="12"/>
  <c r="N22" i="12"/>
  <c r="M22" i="12"/>
  <c r="L22" i="12"/>
  <c r="K22" i="12"/>
  <c r="J22" i="12"/>
  <c r="I22" i="12"/>
  <c r="H22" i="12"/>
  <c r="N21" i="12"/>
  <c r="M21" i="12"/>
  <c r="L21" i="12"/>
  <c r="K21" i="12"/>
  <c r="J21" i="12"/>
  <c r="I21" i="12"/>
  <c r="H21" i="12"/>
  <c r="N20" i="12"/>
  <c r="M20" i="12"/>
  <c r="L20" i="12"/>
  <c r="K20" i="12"/>
  <c r="J20" i="12"/>
  <c r="I20" i="12"/>
  <c r="H20" i="12"/>
  <c r="N19" i="12"/>
  <c r="M19" i="12"/>
  <c r="L19" i="12"/>
  <c r="K19" i="12"/>
  <c r="J19" i="12"/>
  <c r="I19" i="12"/>
  <c r="H19" i="12"/>
  <c r="N18" i="12"/>
  <c r="M18" i="12"/>
  <c r="L18" i="12"/>
  <c r="K18" i="12"/>
  <c r="J18" i="12"/>
  <c r="I18" i="12"/>
  <c r="H18" i="12"/>
  <c r="N17" i="12"/>
  <c r="M17" i="12"/>
  <c r="L17" i="12"/>
  <c r="K17" i="12"/>
  <c r="J17" i="12"/>
  <c r="I17" i="12"/>
  <c r="H17" i="12"/>
  <c r="N16" i="12"/>
  <c r="M16" i="12"/>
  <c r="L16" i="12"/>
  <c r="K16" i="12"/>
  <c r="J16" i="12"/>
  <c r="I16" i="12"/>
  <c r="H16" i="12"/>
  <c r="N15" i="12"/>
  <c r="M15" i="12"/>
  <c r="L15" i="12"/>
  <c r="K15" i="12"/>
  <c r="J15" i="12"/>
  <c r="I15" i="12"/>
  <c r="H15" i="12"/>
  <c r="N14" i="12"/>
  <c r="M14" i="12"/>
  <c r="L14" i="12"/>
  <c r="K14" i="12"/>
  <c r="J14" i="12"/>
  <c r="I14" i="12"/>
  <c r="J6" i="3" s="1"/>
  <c r="H14" i="12"/>
  <c r="N13" i="12"/>
  <c r="M13" i="12"/>
  <c r="L13" i="12"/>
  <c r="K13" i="12"/>
  <c r="J13" i="12"/>
  <c r="I13" i="12"/>
  <c r="J8" i="3" s="1"/>
  <c r="H13" i="12"/>
  <c r="N12" i="12"/>
  <c r="M12" i="12"/>
  <c r="L12" i="12"/>
  <c r="K12" i="12"/>
  <c r="J12" i="12"/>
  <c r="I12" i="12"/>
  <c r="H12" i="12"/>
  <c r="N11" i="12"/>
  <c r="M11" i="12"/>
  <c r="L11" i="12"/>
  <c r="K11" i="12"/>
  <c r="J11" i="12"/>
  <c r="I11" i="12"/>
  <c r="H11" i="12"/>
  <c r="N10" i="12"/>
  <c r="M10" i="12"/>
  <c r="L10" i="12"/>
  <c r="K10" i="12"/>
  <c r="J10" i="12"/>
  <c r="I10" i="12"/>
  <c r="H10" i="12"/>
  <c r="N9" i="12"/>
  <c r="M9" i="12"/>
  <c r="L9" i="12"/>
  <c r="K9" i="12"/>
  <c r="J9" i="12"/>
  <c r="I9" i="12"/>
  <c r="H9" i="12"/>
  <c r="N8" i="12"/>
  <c r="M8" i="12"/>
  <c r="L8" i="12"/>
  <c r="K8" i="12"/>
  <c r="J8" i="12"/>
  <c r="I8" i="12"/>
  <c r="H8" i="12"/>
  <c r="N7" i="12"/>
  <c r="M7" i="12"/>
  <c r="L7" i="12"/>
  <c r="K7" i="12"/>
  <c r="J7" i="12"/>
  <c r="K6" i="3" s="1"/>
  <c r="I7" i="12"/>
  <c r="H7" i="12"/>
  <c r="N6" i="12"/>
  <c r="M6" i="12"/>
  <c r="L6" i="12"/>
  <c r="K6" i="12"/>
  <c r="J6" i="12"/>
  <c r="K5" i="3" s="1"/>
  <c r="I6" i="12"/>
  <c r="H6" i="12"/>
  <c r="N5" i="12"/>
  <c r="M5" i="12"/>
  <c r="L5" i="12"/>
  <c r="K5" i="12"/>
  <c r="J5" i="12"/>
  <c r="I5" i="12"/>
  <c r="H5" i="12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38" i="11" s="1"/>
  <c r="N39" i="11" s="1"/>
  <c r="F13" i="10"/>
  <c r="L7" i="10"/>
  <c r="M7" i="10" s="1"/>
  <c r="M6" i="10"/>
  <c r="B6" i="10"/>
  <c r="F13" i="9"/>
  <c r="L7" i="9"/>
  <c r="M7" i="9" s="1"/>
  <c r="L8" i="9" s="1"/>
  <c r="M6" i="9"/>
  <c r="B6" i="9"/>
  <c r="F12" i="8"/>
  <c r="M6" i="8"/>
  <c r="B6" i="8" s="1"/>
  <c r="F13" i="7"/>
  <c r="M6" i="7"/>
  <c r="L7" i="7" s="1"/>
  <c r="B6" i="7"/>
  <c r="F16" i="6"/>
  <c r="L7" i="6"/>
  <c r="M7" i="6" s="1"/>
  <c r="M6" i="6"/>
  <c r="B6" i="6" s="1"/>
  <c r="F16" i="5"/>
  <c r="M6" i="5"/>
  <c r="L7" i="5" s="1"/>
  <c r="B6" i="5"/>
  <c r="H10" i="3"/>
  <c r="G10" i="3"/>
  <c r="F10" i="3"/>
  <c r="E10" i="3"/>
  <c r="I10" i="3" s="1"/>
  <c r="J9" i="3"/>
  <c r="H9" i="3"/>
  <c r="G9" i="3"/>
  <c r="F9" i="3"/>
  <c r="E9" i="3"/>
  <c r="I9" i="3" s="1"/>
  <c r="H8" i="3"/>
  <c r="G8" i="3"/>
  <c r="F8" i="3"/>
  <c r="E8" i="3"/>
  <c r="I8" i="3" s="1"/>
  <c r="H7" i="3"/>
  <c r="G7" i="3"/>
  <c r="F7" i="3"/>
  <c r="E7" i="3"/>
  <c r="I7" i="3" s="1"/>
  <c r="H6" i="3"/>
  <c r="G6" i="3"/>
  <c r="F6" i="3"/>
  <c r="E6" i="3"/>
  <c r="I6" i="3" s="1"/>
  <c r="J5" i="3"/>
  <c r="H5" i="3"/>
  <c r="H11" i="3" s="1"/>
  <c r="G5" i="3"/>
  <c r="G11" i="3" s="1"/>
  <c r="F5" i="3"/>
  <c r="I5" i="3" s="1"/>
  <c r="E5" i="3"/>
  <c r="E11" i="3" s="1"/>
  <c r="M8" i="9" l="1"/>
  <c r="L9" i="9" s="1"/>
  <c r="B8" i="9"/>
  <c r="L8" i="10"/>
  <c r="B7" i="10"/>
  <c r="I11" i="3"/>
  <c r="I12" i="3" s="1"/>
  <c r="B7" i="6"/>
  <c r="L8" i="6"/>
  <c r="M7" i="5"/>
  <c r="L8" i="5" s="1"/>
  <c r="B7" i="5"/>
  <c r="M7" i="7"/>
  <c r="L8" i="7" s="1"/>
  <c r="B7" i="7"/>
  <c r="L7" i="8"/>
  <c r="J10" i="3"/>
  <c r="K10" i="3"/>
  <c r="K9" i="3"/>
  <c r="J7" i="3"/>
  <c r="J11" i="3" s="1"/>
  <c r="J13" i="3" s="1"/>
  <c r="F11" i="3"/>
  <c r="K7" i="3"/>
  <c r="K11" i="3" s="1"/>
  <c r="K14" i="3" s="1"/>
  <c r="K8" i="3"/>
  <c r="B7" i="9"/>
  <c r="M8" i="6" l="1"/>
  <c r="L9" i="6" s="1"/>
  <c r="B8" i="6"/>
  <c r="B7" i="8"/>
  <c r="M7" i="8"/>
  <c r="L8" i="8" s="1"/>
  <c r="M8" i="5"/>
  <c r="L9" i="5" s="1"/>
  <c r="M8" i="10"/>
  <c r="L9" i="10" s="1"/>
  <c r="B8" i="10"/>
  <c r="M8" i="7"/>
  <c r="L9" i="7" s="1"/>
  <c r="B8" i="7"/>
  <c r="M9" i="9"/>
  <c r="L10" i="9" s="1"/>
  <c r="B8" i="5" l="1"/>
  <c r="M8" i="8"/>
  <c r="L9" i="8" s="1"/>
  <c r="B8" i="8"/>
  <c r="M10" i="9"/>
  <c r="L11" i="9" s="1"/>
  <c r="B10" i="9"/>
  <c r="B9" i="9"/>
  <c r="M9" i="7"/>
  <c r="L10" i="7" s="1"/>
  <c r="B9" i="7"/>
  <c r="M9" i="10"/>
  <c r="L10" i="10" s="1"/>
  <c r="B9" i="10"/>
  <c r="M9" i="5"/>
  <c r="L10" i="5" s="1"/>
  <c r="B9" i="5"/>
  <c r="M9" i="6"/>
  <c r="L10" i="6" s="1"/>
  <c r="M10" i="5" l="1"/>
  <c r="L11" i="5" s="1"/>
  <c r="M10" i="10"/>
  <c r="L11" i="10" s="1"/>
  <c r="M10" i="7"/>
  <c r="L11" i="7" s="1"/>
  <c r="B10" i="7"/>
  <c r="M11" i="9"/>
  <c r="L12" i="9" s="1"/>
  <c r="M9" i="8"/>
  <c r="L10" i="8" s="1"/>
  <c r="M10" i="6"/>
  <c r="L11" i="6" s="1"/>
  <c r="B10" i="6"/>
  <c r="B9" i="6"/>
  <c r="M10" i="8" l="1"/>
  <c r="L11" i="8" s="1"/>
  <c r="B10" i="8"/>
  <c r="M12" i="9"/>
  <c r="B12" i="9"/>
  <c r="M11" i="7"/>
  <c r="L12" i="7" s="1"/>
  <c r="B11" i="7"/>
  <c r="M11" i="5"/>
  <c r="L12" i="5" s="1"/>
  <c r="B11" i="5"/>
  <c r="M11" i="6"/>
  <c r="L12" i="6" s="1"/>
  <c r="B11" i="6"/>
  <c r="B9" i="8"/>
  <c r="B11" i="9"/>
  <c r="M11" i="10"/>
  <c r="L12" i="10" s="1"/>
  <c r="B10" i="10"/>
  <c r="B10" i="5"/>
  <c r="M12" i="10" l="1"/>
  <c r="B12" i="10"/>
  <c r="B11" i="10"/>
  <c r="M12" i="7"/>
  <c r="B12" i="7" s="1"/>
  <c r="M12" i="6"/>
  <c r="L13" i="6" s="1"/>
  <c r="B12" i="6"/>
  <c r="M12" i="5"/>
  <c r="L13" i="5" s="1"/>
  <c r="B12" i="5"/>
  <c r="M11" i="8"/>
  <c r="B11" i="8" s="1"/>
  <c r="M13" i="5" l="1"/>
  <c r="L14" i="5" s="1"/>
  <c r="B13" i="5"/>
  <c r="M13" i="6"/>
  <c r="L14" i="6" s="1"/>
  <c r="B13" i="6"/>
  <c r="M14" i="6" l="1"/>
  <c r="B14" i="6"/>
  <c r="M14" i="5"/>
  <c r="B14" i="5" s="1"/>
</calcChain>
</file>

<file path=xl/sharedStrings.xml><?xml version="1.0" encoding="utf-8"?>
<sst xmlns="http://schemas.openxmlformats.org/spreadsheetml/2006/main" count="2823" uniqueCount="1269">
  <si>
    <r>
      <rPr>
        <b/>
        <sz val="14"/>
        <rFont val="Noto Sans CJK SC"/>
        <family val="2"/>
      </rPr>
      <t xml:space="preserve">省级中小学足球赛事系统 </t>
    </r>
    <r>
      <rPr>
        <b/>
        <sz val="14"/>
        <rFont val="Arial"/>
        <family val="2"/>
      </rPr>
      <t>· 10</t>
    </r>
    <r>
      <rPr>
        <b/>
        <sz val="14"/>
        <rFont val="Noto Sans CJK SC"/>
        <family val="2"/>
      </rPr>
      <t>天版六人分工（优化后）</t>
    </r>
  </si>
  <si>
    <r>
      <rPr>
        <sz val="10"/>
        <color rgb="FF595959"/>
        <rFont val="Noto Sans CJK SC"/>
        <family val="2"/>
      </rPr>
      <t>在你的两版分工基础上取长补短；原</t>
    </r>
    <r>
      <rPr>
        <sz val="10"/>
        <color rgb="FF595959"/>
        <rFont val="Arial"/>
        <family val="2"/>
      </rPr>
      <t>244</t>
    </r>
    <r>
      <rPr>
        <sz val="10"/>
        <color rgb="FF595959"/>
        <rFont val="Noto Sans CJK SC"/>
        <family val="2"/>
      </rPr>
      <t>条功能全部保留，只压缩每条的实现深度</t>
    </r>
  </si>
  <si>
    <t>一、结论</t>
  </si>
  <si>
    <t>1</t>
  </si>
  <si>
    <r>
      <rPr>
        <sz val="10"/>
        <rFont val="Noto Sans CJK SC"/>
        <family val="2"/>
      </rPr>
      <t>两版都排不进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天：</t>
    </r>
    <r>
      <rPr>
        <sz val="10"/>
        <rFont val="Arial"/>
        <family val="2"/>
      </rPr>
      <t>V1</t>
    </r>
    <r>
      <rPr>
        <sz val="10"/>
        <rFont val="Noto Sans CJK SC"/>
        <family val="2"/>
      </rPr>
      <t>自估约</t>
    </r>
    <r>
      <rPr>
        <sz val="10"/>
        <rFont val="Arial"/>
        <family val="2"/>
      </rPr>
      <t>477</t>
    </r>
    <r>
      <rPr>
        <sz val="10"/>
        <rFont val="Noto Sans CJK SC"/>
        <family val="2"/>
      </rPr>
      <t>人天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约</t>
    </r>
    <r>
      <rPr>
        <sz val="10"/>
        <rFont val="Arial"/>
        <family val="2"/>
      </rPr>
      <t>16</t>
    </r>
    <r>
      <rPr>
        <sz val="10"/>
        <rFont val="Noto Sans CJK SC"/>
        <family val="2"/>
      </rPr>
      <t>周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</t>
    </r>
    <r>
      <rPr>
        <sz val="10"/>
        <rFont val="Arial"/>
        <family val="2"/>
      </rPr>
      <t>V2</t>
    </r>
    <r>
      <rPr>
        <sz val="10"/>
        <rFont val="Noto Sans CJK SC"/>
        <family val="2"/>
      </rPr>
      <t>为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周节奏；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天</t>
    </r>
    <r>
      <rPr>
        <sz val="10"/>
        <rFont val="Arial"/>
        <family val="2"/>
      </rPr>
      <t>×6</t>
    </r>
    <r>
      <rPr>
        <sz val="10"/>
        <rFont val="Noto Sans CJK SC"/>
        <family val="2"/>
      </rPr>
      <t>人只有</t>
    </r>
    <r>
      <rPr>
        <sz val="10"/>
        <rFont val="Arial"/>
        <family val="2"/>
      </rPr>
      <t>60</t>
    </r>
    <r>
      <rPr>
        <sz val="10"/>
        <rFont val="Noto Sans CJK SC"/>
        <family val="2"/>
      </rPr>
      <t>人天。优化版的办法是“功能一条不删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原</t>
    </r>
    <r>
      <rPr>
        <sz val="10"/>
        <rFont val="Arial"/>
        <family val="2"/>
      </rPr>
      <t>244</t>
    </r>
    <r>
      <rPr>
        <sz val="10"/>
        <rFont val="Noto Sans CJK SC"/>
        <family val="2"/>
      </rPr>
      <t>条全部保留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，只压缩每条的实现深度”，并把完成度分成</t>
    </r>
    <r>
      <rPr>
        <sz val="10"/>
        <rFont val="Arial"/>
        <family val="2"/>
      </rPr>
      <t>L1</t>
    </r>
    <r>
      <rPr>
        <sz val="10"/>
        <rFont val="Noto Sans CJK SC"/>
        <family val="2"/>
      </rPr>
      <t>完整、</t>
    </r>
    <r>
      <rPr>
        <sz val="10"/>
        <rFont val="Arial"/>
        <family val="2"/>
      </rPr>
      <t>L2</t>
    </r>
    <r>
      <rPr>
        <sz val="10"/>
        <rFont val="Noto Sans CJK SC"/>
        <family val="2"/>
      </rPr>
      <t>标准增删改查、</t>
    </r>
    <r>
      <rPr>
        <sz val="10"/>
        <rFont val="Arial"/>
        <family val="2"/>
      </rPr>
      <t>L3</t>
    </r>
    <r>
      <rPr>
        <sz val="10"/>
        <rFont val="Noto Sans CJK SC"/>
        <family val="2"/>
      </rPr>
      <t>精简三级。</t>
    </r>
  </si>
  <si>
    <t>2</t>
  </si>
  <si>
    <r>
      <rPr>
        <sz val="10"/>
        <rFont val="Noto Sans CJK SC"/>
        <family val="2"/>
      </rPr>
      <t>前提是使用现成的前后端分离后台脚手架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自带登录、</t>
    </r>
    <r>
      <rPr>
        <sz val="10"/>
        <rFont val="Arial"/>
        <family val="2"/>
      </rPr>
      <t>RBAC</t>
    </r>
    <r>
      <rPr>
        <sz val="10"/>
        <rFont val="Noto Sans CJK SC"/>
        <family val="2"/>
      </rPr>
      <t>、文件上传、代码生成器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。如果要从零搭框架，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天不成立，建议拆成两期。</t>
    </r>
  </si>
  <si>
    <t>3</t>
  </si>
  <si>
    <r>
      <rPr>
        <sz val="10"/>
        <rFont val="Noto Sans CJK SC"/>
        <family val="2"/>
      </rPr>
      <t>大模型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天内只保留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项：政策与报名问答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精简版，优先级</t>
    </r>
    <r>
      <rPr>
        <sz val="10"/>
        <rFont val="Arial"/>
        <family val="2"/>
      </rPr>
      <t>P2</t>
    </r>
    <r>
      <rPr>
        <sz val="10"/>
        <rFont val="Noto Sans CJK SC"/>
        <family val="2"/>
      </rPr>
      <t>，最先砍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。报名材料预审改为规则校验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材料是否齐全、姓名与身份证是否与档案一致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，不用大模型；</t>
    </r>
    <r>
      <rPr>
        <sz val="10"/>
        <rFont val="Arial"/>
        <family val="2"/>
      </rPr>
      <t>V1</t>
    </r>
    <r>
      <rPr>
        <sz val="10"/>
        <rFont val="Noto Sans CJK SC"/>
        <family val="2"/>
      </rPr>
      <t>的另外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项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材料识别、导入纠错、战报、问数、遴选摘要等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全部放二期。</t>
    </r>
  </si>
  <si>
    <t>4</t>
  </si>
  <si>
    <r>
      <rPr>
        <sz val="10"/>
        <rFont val="Noto Sans CJK SC"/>
        <family val="2"/>
      </rPr>
      <t>组长就是唯一前端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成员</t>
    </r>
    <r>
      <rPr>
        <sz val="10"/>
        <rFont val="Arial"/>
        <family val="2"/>
      </rPr>
      <t>1)</t>
    </r>
    <r>
      <rPr>
        <sz val="10"/>
        <rFont val="Noto Sans CJK SC"/>
        <family val="2"/>
      </rPr>
      <t>。为了不让组长成为瓶颈：组长只手写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类复杂页面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运动员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教练员端、统一报名页、审核工作台、比赛录入端、通用组件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；门户官网、</t>
    </r>
    <r>
      <rPr>
        <sz val="10"/>
        <rFont val="Arial"/>
        <family val="2"/>
      </rPr>
      <t>CMS</t>
    </r>
    <r>
      <rPr>
        <sz val="10"/>
        <rFont val="Noto Sans CJK SC"/>
        <family val="2"/>
      </rPr>
      <t>后台、遴选页由成员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套模板完成；各后端用代码生成器自出标准页；日常站会与缺陷分派由成员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负责，组长只做范围裁决和验收。</t>
    </r>
  </si>
  <si>
    <t>5</t>
  </si>
  <si>
    <r>
      <rPr>
        <sz val="10"/>
        <rFont val="Noto Sans CJK SC"/>
        <family val="2"/>
      </rPr>
      <t>每人正好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人天、没有缓冲，所以必须配套“降级清单”和</t>
    </r>
    <r>
      <rPr>
        <sz val="10"/>
        <rFont val="Arial"/>
        <family val="2"/>
      </rPr>
      <t>D5</t>
    </r>
    <r>
      <rPr>
        <sz val="10"/>
        <rFont val="Noto Sans CJK SC"/>
        <family val="2"/>
      </rPr>
      <t>检查点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见“风险与砍法”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</t>
    </r>
  </si>
  <si>
    <t>二、前提与需要你确认的事</t>
  </si>
  <si>
    <r>
      <rPr>
        <sz val="10"/>
        <rFont val="Arial"/>
        <family val="2"/>
      </rPr>
      <t>“10</t>
    </r>
    <r>
      <rPr>
        <sz val="10"/>
        <rFont val="Noto Sans CJK SC"/>
        <family val="2"/>
      </rPr>
      <t>天”按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个工作日、每人每天约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小时计。如果是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个日历日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含周末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，建议把全部</t>
    </r>
    <r>
      <rPr>
        <sz val="10"/>
        <rFont val="Arial"/>
        <family val="2"/>
      </rPr>
      <t>P1</t>
    </r>
    <r>
      <rPr>
        <sz val="10"/>
        <rFont val="Noto Sans CJK SC"/>
        <family val="2"/>
      </rPr>
      <t>功能也按</t>
    </r>
    <r>
      <rPr>
        <sz val="10"/>
        <rFont val="Arial"/>
        <family val="2"/>
      </rPr>
      <t>L3</t>
    </r>
    <r>
      <rPr>
        <sz val="10"/>
        <rFont val="Noto Sans CJK SC"/>
        <family val="2"/>
      </rPr>
      <t>处理。</t>
    </r>
  </si>
  <si>
    <r>
      <rPr>
        <sz val="10"/>
        <rFont val="Noto Sans CJK SC"/>
        <family val="2"/>
      </rPr>
      <t>技术栈沿用</t>
    </r>
    <r>
      <rPr>
        <sz val="10"/>
        <rFont val="Arial"/>
        <family val="2"/>
      </rPr>
      <t>V2</t>
    </r>
    <r>
      <rPr>
        <sz val="10"/>
        <rFont val="Noto Sans CJK SC"/>
        <family val="2"/>
      </rPr>
      <t>：</t>
    </r>
    <r>
      <rPr>
        <sz val="10"/>
        <rFont val="Arial"/>
        <family val="2"/>
      </rPr>
      <t>Vue3+Vite+TS / Spring Boot+Maven / MySQL / Redis / MinIO / Docker Compose</t>
    </r>
    <r>
      <rPr>
        <sz val="10"/>
        <rFont val="Noto Sans CJK SC"/>
        <family val="2"/>
      </rPr>
      <t>。</t>
    </r>
  </si>
  <si>
    <r>
      <rPr>
        <sz val="10"/>
        <rFont val="Noto Sans CJK SC"/>
        <family val="2"/>
      </rPr>
      <t>人天为相对估算，蓝色数字可直接修改，“分工总览”与各人工作表的“计划日”会自动更新</t>
    </r>
    <r>
      <rPr>
        <sz val="10"/>
        <rFont val="Arial"/>
        <family val="2"/>
      </rPr>
      <t>(“</t>
    </r>
    <r>
      <rPr>
        <sz val="10"/>
        <rFont val="Noto Sans CJK SC"/>
        <family val="2"/>
      </rPr>
      <t>每日排期”需手工同步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。</t>
    </r>
  </si>
  <si>
    <r>
      <rPr>
        <sz val="10"/>
        <rFont val="Arial"/>
        <family val="2"/>
      </rPr>
      <t>D1</t>
    </r>
    <r>
      <rPr>
        <sz val="10"/>
        <rFont val="Noto Sans CJK SC"/>
        <family val="2"/>
      </rPr>
      <t>当天必须拿到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项需求结论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评分规则、审核层级等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，见“风险与砍法”第一部分。</t>
    </r>
  </si>
  <si>
    <r>
      <rPr>
        <b/>
        <sz val="11"/>
        <rFont val="Noto Sans CJK SC"/>
        <family val="2"/>
      </rPr>
      <t>三、完成度三级（代替“做</t>
    </r>
    <r>
      <rPr>
        <b/>
        <sz val="11"/>
        <rFont val="Arial"/>
        <family val="2"/>
      </rPr>
      <t>/</t>
    </r>
    <r>
      <rPr>
        <b/>
        <sz val="11"/>
        <rFont val="Noto Sans CJK SC"/>
        <family val="2"/>
      </rPr>
      <t>不做”）</t>
    </r>
  </si>
  <si>
    <t>L1</t>
  </si>
  <si>
    <t>完整实现：主链路上、规则复杂的功能，如登录权限、报名、审核、导出、档案、比赛录入。</t>
  </si>
  <si>
    <t>L2</t>
  </si>
  <si>
    <t>标准增删改查：用代码生成器出页，含搜索、分页、上传，不做额外交互。</t>
  </si>
  <si>
    <t>L3</t>
  </si>
  <si>
    <r>
      <rPr>
        <sz val="10"/>
        <rFont val="Noto Sans CJK SC"/>
        <family val="2"/>
      </rPr>
      <t>精简版：功能在、机制简化，如图文直播用短轮询、人脸核验未接通时降为“现场拍照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人工确认”、站内信打开页面时拉取。</t>
    </r>
  </si>
  <si>
    <t>四、对两版的取舍</t>
  </si>
  <si>
    <r>
      <rPr>
        <sz val="10"/>
        <rFont val="Noto Sans CJK SC"/>
        <family val="2"/>
      </rPr>
      <t>取</t>
    </r>
    <r>
      <rPr>
        <sz val="10"/>
        <rFont val="Arial"/>
        <family val="2"/>
      </rPr>
      <t>V2</t>
    </r>
  </si>
  <si>
    <r>
      <rPr>
        <sz val="10"/>
        <rFont val="Noto Sans CJK SC"/>
        <family val="2"/>
      </rPr>
      <t>按人一页；原</t>
    </r>
    <r>
      <rPr>
        <sz val="10"/>
        <rFont val="Arial"/>
        <family val="2"/>
      </rPr>
      <t>244</t>
    </r>
    <r>
      <rPr>
        <sz val="10"/>
        <rFont val="Noto Sans CJK SC"/>
        <family val="2"/>
      </rPr>
      <t>条原文与行号保留；前端、后端双负责人；技术栈明确。</t>
    </r>
  </si>
  <si>
    <r>
      <rPr>
        <sz val="10"/>
        <rFont val="Noto Sans CJK SC"/>
        <family val="2"/>
      </rPr>
      <t>取</t>
    </r>
    <r>
      <rPr>
        <sz val="10"/>
        <rFont val="Arial"/>
        <family val="2"/>
      </rPr>
      <t>V1</t>
    </r>
  </si>
  <si>
    <r>
      <rPr>
        <sz val="10"/>
        <rFont val="Noto Sans CJK SC"/>
        <family val="2"/>
      </rPr>
      <t>只合并同构度最高的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报名三端、内容四类、履历约</t>
    </r>
    <r>
      <rPr>
        <sz val="10"/>
        <rFont val="Arial"/>
        <family val="2"/>
      </rPr>
      <t>19</t>
    </r>
    <r>
      <rPr>
        <sz val="10"/>
        <rFont val="Noto Sans CJK SC"/>
        <family val="2"/>
      </rPr>
      <t>类、进球统计三组、对阵单一数据源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；任务带</t>
    </r>
    <r>
      <rPr>
        <sz val="10"/>
        <rFont val="Arial"/>
        <family val="2"/>
      </rPr>
      <t>ID</t>
    </r>
    <r>
      <rPr>
        <sz val="10"/>
        <rFont val="Noto Sans CJK SC"/>
        <family val="2"/>
      </rPr>
      <t>、人天、优先级、依赖、验收；风险表与备份人。</t>
    </r>
  </si>
  <si>
    <r>
      <rPr>
        <sz val="10"/>
        <rFont val="Noto Sans CJK SC"/>
        <family val="2"/>
      </rPr>
      <t>舍</t>
    </r>
    <r>
      <rPr>
        <sz val="10"/>
        <rFont val="Arial"/>
        <family val="2"/>
      </rPr>
      <t>V1</t>
    </r>
  </si>
  <si>
    <r>
      <rPr>
        <sz val="10"/>
        <rFont val="Noto Sans CJK SC"/>
        <family val="2"/>
      </rPr>
      <t>原表没有的新增能力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评委角色、公示期与异议、压测与评测集等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、通用审核流程引擎、动态表单设计器、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项大模型。</t>
    </r>
  </si>
  <si>
    <r>
      <rPr>
        <sz val="10"/>
        <rFont val="Noto Sans CJK SC"/>
        <family val="2"/>
      </rPr>
      <t>舍</t>
    </r>
    <r>
      <rPr>
        <sz val="10"/>
        <rFont val="Arial"/>
        <family val="2"/>
      </rPr>
      <t>V2</t>
    </r>
  </si>
  <si>
    <r>
      <rPr>
        <sz val="10"/>
        <rFont val="Noto Sans CJK SC"/>
        <family val="2"/>
      </rPr>
      <t>三端分别开发；验收句大量重复；无人天无优先级；前端挂名占</t>
    </r>
    <r>
      <rPr>
        <sz val="10"/>
        <rFont val="Arial"/>
        <family val="2"/>
      </rPr>
      <t>70%</t>
    </r>
    <r>
      <rPr>
        <sz val="10"/>
        <rFont val="Noto Sans CJK SC"/>
        <family val="2"/>
      </rPr>
      <t>。</t>
    </r>
  </si>
  <si>
    <t>五、阅读顺序</t>
  </si>
  <si>
    <t>→</t>
  </si>
  <si>
    <r>
      <rPr>
        <sz val="10"/>
        <rFont val="Noto Sans CJK SC"/>
        <family val="2"/>
      </rPr>
      <t>①两版对比与取舍 → ②分工总览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谁做什么、人天是否均衡</t>
    </r>
    <r>
      <rPr>
        <sz val="10"/>
        <rFont val="Arial"/>
        <family val="2"/>
      </rPr>
      <t>) → ③</t>
    </r>
    <r>
      <rPr>
        <sz val="10"/>
        <rFont val="Noto Sans CJK SC"/>
        <family val="2"/>
      </rPr>
      <t>每日排期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一页看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天</t>
    </r>
    <r>
      <rPr>
        <sz val="10"/>
        <rFont val="Arial"/>
        <family val="2"/>
      </rPr>
      <t>) → ④</t>
    </r>
    <r>
      <rPr>
        <sz val="10"/>
        <rFont val="Noto Sans CJK SC"/>
        <family val="2"/>
      </rPr>
      <t>成员</t>
    </r>
    <r>
      <rPr>
        <sz val="10"/>
        <rFont val="Arial"/>
        <family val="2"/>
      </rPr>
      <t>1~6(</t>
    </r>
    <r>
      <rPr>
        <sz val="10"/>
        <rFont val="Noto Sans CJK SC"/>
        <family val="2"/>
      </rPr>
      <t>每人一页任务</t>
    </r>
    <r>
      <rPr>
        <sz val="10"/>
        <rFont val="Arial"/>
        <family val="2"/>
      </rPr>
      <t>) → ⑤</t>
    </r>
    <r>
      <rPr>
        <sz val="10"/>
        <rFont val="Noto Sans CJK SC"/>
        <family val="2"/>
      </rPr>
      <t>优化后功能框架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模块、负责人、深度、优先级</t>
    </r>
    <r>
      <rPr>
        <sz val="10"/>
        <rFont val="Arial"/>
        <family val="2"/>
      </rPr>
      <t>) → ⑥</t>
    </r>
    <r>
      <rPr>
        <sz val="10"/>
        <rFont val="Noto Sans CJK SC"/>
        <family val="2"/>
      </rPr>
      <t>原</t>
    </r>
    <r>
      <rPr>
        <sz val="10"/>
        <rFont val="Arial"/>
        <family val="2"/>
      </rPr>
      <t>244</t>
    </r>
    <r>
      <rPr>
        <sz val="10"/>
        <rFont val="Noto Sans CJK SC"/>
        <family val="2"/>
      </rPr>
      <t>功能核对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逐条查归属</t>
    </r>
    <r>
      <rPr>
        <sz val="10"/>
        <rFont val="Arial"/>
        <family val="2"/>
      </rPr>
      <t>) → ⑦</t>
    </r>
    <r>
      <rPr>
        <sz val="10"/>
        <rFont val="Noto Sans CJK SC"/>
        <family val="2"/>
      </rPr>
      <t>风险与砍法。</t>
    </r>
  </si>
  <si>
    <t>六人分工总览</t>
  </si>
  <si>
    <t>人天与功能条数由公式自动汇总；成员代号可替换为实际姓名</t>
  </si>
  <si>
    <t>成员</t>
  </si>
  <si>
    <t>岗位</t>
  </si>
  <si>
    <t>主责内容</t>
  </si>
  <si>
    <t>边界与配合</t>
  </si>
  <si>
    <t>后端人天</t>
  </si>
  <si>
    <t>前端人天</t>
  </si>
  <si>
    <t>联调人天</t>
  </si>
  <si>
    <t>管理人天</t>
  </si>
  <si>
    <t>合计人天</t>
  </si>
  <si>
    <t>后端负责原功能条数</t>
  </si>
  <si>
    <t>前端负责原功能条数</t>
  </si>
  <si>
    <t>备份人</t>
  </si>
  <si>
    <t>主要风险与应对</t>
  </si>
  <si>
    <r>
      <rPr>
        <b/>
        <sz val="10"/>
        <rFont val="Noto Sans CJK SC"/>
        <family val="2"/>
      </rPr>
      <t>成员</t>
    </r>
    <r>
      <rPr>
        <b/>
        <sz val="10"/>
        <rFont val="Arial"/>
        <family val="2"/>
      </rPr>
      <t>1</t>
    </r>
  </si>
  <si>
    <r>
      <rPr>
        <b/>
        <sz val="10"/>
        <rFont val="Noto Sans CJK SC"/>
        <family val="2"/>
      </rPr>
      <t>组长</t>
    </r>
    <r>
      <rPr>
        <b/>
        <sz val="10"/>
        <rFont val="Arial"/>
        <family val="2"/>
      </rPr>
      <t>·</t>
    </r>
    <r>
      <rPr>
        <b/>
        <sz val="10"/>
        <rFont val="Noto Sans CJK SC"/>
        <family val="2"/>
      </rPr>
      <t>主前端</t>
    </r>
  </si>
  <si>
    <r>
      <rPr>
        <sz val="10"/>
        <rFont val="Noto Sans CJK SC"/>
        <family val="2"/>
      </rPr>
      <t>前端脚手架与通用组件；手写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类复杂页：运动员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教练员端、统一报名页、审核工作台、比赛录入端；范围裁决与验收</t>
    </r>
  </si>
  <si>
    <r>
      <rPr>
        <sz val="10"/>
        <rFont val="Noto Sans CJK SC"/>
        <family val="2"/>
      </rPr>
      <t>不做门户、</t>
    </r>
    <r>
      <rPr>
        <sz val="10"/>
        <rFont val="Arial"/>
        <family val="2"/>
      </rPr>
      <t>CMS</t>
    </r>
    <r>
      <rPr>
        <sz val="10"/>
        <rFont val="Noto Sans CJK SC"/>
        <family val="2"/>
      </rPr>
      <t>、遴选页、标准页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分别由成员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与各后端出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；不做日常调度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成员</t>
    </r>
    <r>
      <rPr>
        <sz val="10"/>
        <rFont val="Arial"/>
        <family val="2"/>
      </rPr>
      <t>2)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</si>
  <si>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5(</t>
    </r>
    <r>
      <rPr>
        <sz val="10"/>
        <rFont val="Noto Sans CJK SC"/>
        <family val="2"/>
      </rPr>
      <t>录入端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</si>
  <si>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唯一前端且零缓冲：</t>
    </r>
    <r>
      <rPr>
        <sz val="10"/>
        <rFont val="Arial"/>
        <family val="2"/>
      </rPr>
      <t>D5</t>
    </r>
    <r>
      <rPr>
        <sz val="10"/>
        <rFont val="Noto Sans CJK SC"/>
        <family val="2"/>
      </rPr>
      <t>检查点决定是否启动降级清单；联调期成员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、成员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可临时接页</t>
    </r>
  </si>
  <si>
    <r>
      <rPr>
        <b/>
        <sz val="10"/>
        <rFont val="Noto Sans CJK SC"/>
        <family val="2"/>
      </rPr>
      <t>成员</t>
    </r>
    <r>
      <rPr>
        <b/>
        <sz val="10"/>
        <rFont val="Arial"/>
        <family val="2"/>
      </rPr>
      <t>2</t>
    </r>
  </si>
  <si>
    <r>
      <rPr>
        <b/>
        <sz val="10"/>
        <rFont val="Noto Sans CJK SC"/>
        <family val="2"/>
      </rPr>
      <t>后端技术负责人</t>
    </r>
    <r>
      <rPr>
        <b/>
        <sz val="10"/>
        <rFont val="Arial"/>
        <family val="2"/>
      </rPr>
      <t>·</t>
    </r>
    <r>
      <rPr>
        <b/>
        <sz val="10"/>
        <rFont val="Noto Sans CJK SC"/>
        <family val="2"/>
      </rPr>
      <t>底座</t>
    </r>
  </si>
  <si>
    <r>
      <rPr>
        <sz val="10"/>
        <rFont val="Noto Sans CJK SC"/>
        <family val="2"/>
      </rPr>
      <t>脚手架与环境、文件服务、认证权限、组织字典、账号日志消息、人脸核验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精简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、政策问答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精简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、安全最小集、联调与部署</t>
    </r>
  </si>
  <si>
    <t>主持站会、分派缺陷；不做业务域功能；为全员提供底座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</si>
  <si>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3</t>
    </r>
  </si>
  <si>
    <r>
      <rPr>
        <sz val="10"/>
        <rFont val="Arial"/>
        <family val="2"/>
      </rPr>
      <t>D1–D4</t>
    </r>
    <r>
      <rPr>
        <sz val="10"/>
        <rFont val="Noto Sans CJK SC"/>
        <family val="2"/>
      </rPr>
      <t>的底座是全员前置：脚手架自带登录先用，文件服务</t>
    </r>
    <r>
      <rPr>
        <sz val="10"/>
        <rFont val="Arial"/>
        <family val="2"/>
      </rPr>
      <t>D2</t>
    </r>
    <r>
      <rPr>
        <sz val="10"/>
        <rFont val="Noto Sans CJK SC"/>
        <family val="2"/>
      </rPr>
      <t>交付，其余人先接</t>
    </r>
    <r>
      <rPr>
        <sz val="10"/>
        <rFont val="Arial"/>
        <family val="2"/>
      </rPr>
      <t>Mock</t>
    </r>
  </si>
  <si>
    <r>
      <rPr>
        <b/>
        <sz val="10"/>
        <rFont val="Noto Sans CJK SC"/>
        <family val="2"/>
      </rPr>
      <t>成员</t>
    </r>
    <r>
      <rPr>
        <b/>
        <sz val="10"/>
        <rFont val="Arial"/>
        <family val="2"/>
      </rPr>
      <t>3</t>
    </r>
  </si>
  <si>
    <t>报名与审核后端</t>
  </si>
  <si>
    <r>
      <rPr>
        <sz val="10"/>
        <rFont val="Noto Sans CJK SC"/>
        <family val="2"/>
      </rPr>
      <t>统一报名引擎、多级审核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含规则预审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、批量导入、</t>
    </r>
    <r>
      <rPr>
        <sz val="10"/>
        <rFont val="Arial"/>
        <family val="2"/>
      </rPr>
      <t>PDF/Word</t>
    </r>
    <r>
      <rPr>
        <sz val="10"/>
        <rFont val="Noto Sans CJK SC"/>
        <family val="2"/>
      </rPr>
      <t>导出、报名统计</t>
    </r>
  </si>
  <si>
    <r>
      <rPr>
        <sz val="10"/>
        <rFont val="Noto Sans CJK SC"/>
        <family val="2"/>
      </rPr>
      <t>向成员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取人员与球队接口，向成员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取赛事配置；与成员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联调报名页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</si>
  <si>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2</t>
    </r>
  </si>
  <si>
    <r>
      <rPr>
        <sz val="10"/>
        <rFont val="Noto Sans CJK SC"/>
        <family val="2"/>
      </rPr>
      <t>报名截止日并发与规则反复变更：主体类型用字段区分，提交接口幂等，</t>
    </r>
    <r>
      <rPr>
        <sz val="10"/>
        <rFont val="Arial"/>
        <family val="2"/>
      </rPr>
      <t>D9</t>
    </r>
    <r>
      <rPr>
        <sz val="10"/>
        <rFont val="Noto Sans CJK SC"/>
        <family val="2"/>
      </rPr>
      <t>并发冒烟</t>
    </r>
  </si>
  <si>
    <r>
      <rPr>
        <b/>
        <sz val="10"/>
        <rFont val="Noto Sans CJK SC"/>
        <family val="2"/>
      </rPr>
      <t>成员</t>
    </r>
    <r>
      <rPr>
        <b/>
        <sz val="10"/>
        <rFont val="Arial"/>
        <family val="2"/>
      </rPr>
      <t>4</t>
    </r>
  </si>
  <si>
    <t>人员与球队档案后端</t>
  </si>
  <si>
    <t>数据库总设计、人员主档、球队中心、通用履历引擎、管理员档案与参赛查看、遴选档案聚合</t>
  </si>
  <si>
    <r>
      <rPr>
        <sz val="10"/>
        <rFont val="Noto Sans CJK SC"/>
        <family val="2"/>
      </rPr>
      <t>向成员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、成员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提供人员与球队接口；标准页自己用生成器出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</si>
  <si>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6</t>
    </r>
  </si>
  <si>
    <r>
      <rPr>
        <sz val="10"/>
        <rFont val="Noto Sans CJK SC"/>
        <family val="2"/>
      </rPr>
      <t>按条数最多：靠履历引擎与生成器压缩；身份证唯一键与报名快照</t>
    </r>
    <r>
      <rPr>
        <sz val="10"/>
        <rFont val="Arial"/>
        <family val="2"/>
      </rPr>
      <t>D1</t>
    </r>
    <r>
      <rPr>
        <sz val="10"/>
        <rFont val="Noto Sans CJK SC"/>
        <family val="2"/>
      </rPr>
      <t>评审</t>
    </r>
  </si>
  <si>
    <r>
      <rPr>
        <b/>
        <sz val="10"/>
        <rFont val="Noto Sans CJK SC"/>
        <family val="2"/>
      </rPr>
      <t>成员</t>
    </r>
    <r>
      <rPr>
        <b/>
        <sz val="10"/>
        <rFont val="Arial"/>
        <family val="2"/>
      </rPr>
      <t>5</t>
    </r>
  </si>
  <si>
    <t>赛事运行与门户内容后端</t>
  </si>
  <si>
    <r>
      <rPr>
        <sz val="10"/>
        <rFont val="Noto Sans CJK SC"/>
        <family val="2"/>
      </rPr>
      <t>赛事配置、对阵、赛况事件流、图文直播与赛事文件、</t>
    </r>
    <r>
      <rPr>
        <sz val="10"/>
        <rFont val="Arial"/>
        <family val="2"/>
      </rPr>
      <t>CMS</t>
    </r>
    <r>
      <rPr>
        <sz val="10"/>
        <rFont val="Noto Sans CJK SC"/>
        <family val="2"/>
      </rPr>
      <t>与门户公开接口、榜单与统计</t>
    </r>
  </si>
  <si>
    <r>
      <rPr>
        <sz val="10"/>
        <rFont val="Noto Sans CJK SC"/>
        <family val="2"/>
      </rPr>
      <t>录入页面由成员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做，门户页面由成员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做，本人只做接口与数据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</si>
  <si>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1</t>
    </r>
  </si>
  <si>
    <t>直播与现场弱网：用短轮询；榜单由事件派生，改事件自动更新</t>
  </si>
  <si>
    <r>
      <rPr>
        <b/>
        <sz val="10"/>
        <rFont val="Noto Sans CJK SC"/>
        <family val="2"/>
      </rPr>
      <t>成员</t>
    </r>
    <r>
      <rPr>
        <b/>
        <sz val="10"/>
        <rFont val="Arial"/>
        <family val="2"/>
      </rPr>
      <t>6</t>
    </r>
  </si>
  <si>
    <r>
      <rPr>
        <b/>
        <sz val="10"/>
        <rFont val="Noto Sans CJK SC"/>
        <family val="2"/>
      </rPr>
      <t>后端兼前端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门户</t>
    </r>
    <r>
      <rPr>
        <b/>
        <sz val="10"/>
        <rFont val="Arial"/>
        <family val="2"/>
      </rPr>
      <t>·</t>
    </r>
    <r>
      <rPr>
        <b/>
        <sz val="10"/>
        <rFont val="Noto Sans CJK SC"/>
        <family val="2"/>
      </rPr>
      <t>遴选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</si>
  <si>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门户官网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套模板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、遴选评分后端、公示后端、</t>
    </r>
    <r>
      <rPr>
        <sz val="10"/>
        <rFont val="Arial"/>
        <family val="2"/>
      </rPr>
      <t>CMS</t>
    </r>
    <r>
      <rPr>
        <sz val="10"/>
        <rFont val="Noto Sans CJK SC"/>
        <family val="2"/>
      </rPr>
      <t>后台页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遴选页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公示页、问答窗、标准页整合</t>
    </r>
  </si>
  <si>
    <r>
      <rPr>
        <sz val="10"/>
        <rFont val="Noto Sans CJK SC"/>
        <family val="2"/>
      </rPr>
      <t>按成员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样板做页；复杂页回成员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；遴选档案来自成员</t>
    </r>
    <r>
      <rPr>
        <sz val="10"/>
        <rFont val="Arial"/>
        <family val="2"/>
      </rPr>
      <t>4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</si>
  <si>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4</t>
    </r>
  </si>
  <si>
    <r>
      <rPr>
        <sz val="10"/>
        <rFont val="Noto Sans CJK SC"/>
        <family val="2"/>
      </rPr>
      <t>前后端两头：</t>
    </r>
    <r>
      <rPr>
        <sz val="10"/>
        <rFont val="Arial"/>
        <family val="2"/>
      </rPr>
      <t>D4–D6</t>
    </r>
    <r>
      <rPr>
        <sz val="10"/>
        <rFont val="Noto Sans CJK SC"/>
        <family val="2"/>
      </rPr>
      <t>集中做遴选后端；门户先接</t>
    </r>
    <r>
      <rPr>
        <sz val="10"/>
        <rFont val="Arial"/>
        <family val="2"/>
      </rPr>
      <t>Mock</t>
    </r>
    <r>
      <rPr>
        <sz val="10"/>
        <rFont val="Noto Sans CJK SC"/>
        <family val="2"/>
      </rPr>
      <t>后切真实</t>
    </r>
  </si>
  <si>
    <t>合计</t>
  </si>
  <si>
    <r>
      <rPr>
        <sz val="9"/>
        <rFont val="Noto Sans CJK SC"/>
        <family val="2"/>
      </rPr>
      <t xml:space="preserve">核对：合计人天 − </t>
    </r>
    <r>
      <rPr>
        <sz val="9"/>
        <rFont val="Arial"/>
        <family val="2"/>
      </rPr>
      <t>60(6</t>
    </r>
    <r>
      <rPr>
        <sz val="9"/>
        <rFont val="Noto Sans CJK SC"/>
        <family val="2"/>
      </rPr>
      <t>人</t>
    </r>
    <r>
      <rPr>
        <sz val="9"/>
        <rFont val="Arial"/>
        <family val="2"/>
      </rPr>
      <t>×10</t>
    </r>
    <r>
      <rPr>
        <sz val="9"/>
        <rFont val="Noto Sans CJK SC"/>
        <family val="2"/>
      </rPr>
      <t>天</t>
    </r>
    <r>
      <rPr>
        <sz val="9"/>
        <rFont val="Arial"/>
        <family val="2"/>
      </rPr>
      <t>)</t>
    </r>
    <r>
      <rPr>
        <sz val="9"/>
        <rFont val="Noto Sans CJK SC"/>
        <family val="2"/>
      </rPr>
      <t>，应为</t>
    </r>
    <r>
      <rPr>
        <sz val="9"/>
        <rFont val="Arial"/>
        <family val="2"/>
      </rPr>
      <t>0</t>
    </r>
  </si>
  <si>
    <r>
      <rPr>
        <sz val="9"/>
        <rFont val="Noto Sans CJK SC"/>
        <family val="2"/>
      </rPr>
      <t xml:space="preserve">核对：后端负责条数合计 − </t>
    </r>
    <r>
      <rPr>
        <sz val="9"/>
        <rFont val="Arial"/>
        <family val="2"/>
      </rPr>
      <t>244</t>
    </r>
    <r>
      <rPr>
        <sz val="9"/>
        <rFont val="Noto Sans CJK SC"/>
        <family val="2"/>
      </rPr>
      <t>，应为</t>
    </r>
    <r>
      <rPr>
        <sz val="9"/>
        <rFont val="Arial"/>
        <family val="2"/>
      </rPr>
      <t>0</t>
    </r>
  </si>
  <si>
    <r>
      <rPr>
        <sz val="9"/>
        <rFont val="Noto Sans CJK SC"/>
        <family val="2"/>
      </rPr>
      <t xml:space="preserve">核对：前端负责条数合计 − </t>
    </r>
    <r>
      <rPr>
        <sz val="9"/>
        <rFont val="Arial"/>
        <family val="2"/>
      </rPr>
      <t>244</t>
    </r>
    <r>
      <rPr>
        <sz val="9"/>
        <rFont val="Noto Sans CJK SC"/>
        <family val="2"/>
      </rPr>
      <t>，应为</t>
    </r>
    <r>
      <rPr>
        <sz val="9"/>
        <rFont val="Arial"/>
        <family val="2"/>
      </rPr>
      <t>0(5.1</t>
    </r>
    <r>
      <rPr>
        <sz val="9"/>
        <rFont val="Noto Sans CJK SC"/>
        <family val="2"/>
      </rPr>
      <t>等条目前端主责记成员</t>
    </r>
    <r>
      <rPr>
        <sz val="9"/>
        <rFont val="Arial"/>
        <family val="2"/>
      </rPr>
      <t>1)</t>
    </r>
  </si>
  <si>
    <r>
      <rPr>
        <sz val="9"/>
        <color rgb="FF595959"/>
        <rFont val="Noto Sans CJK SC"/>
        <family val="2"/>
      </rPr>
      <t>说明：功能条数是原表条目数，不等于工作量——同构条目经引擎合并后工作量远小于条数，工作量以人天为准。前端负责条数里，成员</t>
    </r>
    <r>
      <rPr>
        <sz val="9"/>
        <color rgb="FF595959"/>
        <rFont val="Arial"/>
        <family val="2"/>
      </rPr>
      <t>2/3/4/5</t>
    </r>
    <r>
      <rPr>
        <sz val="9"/>
        <color rgb="FF595959"/>
        <rFont val="Noto Sans CJK SC"/>
        <family val="2"/>
      </rPr>
      <t>的条目是他们用生成器自出的标准页，由成员</t>
    </r>
    <r>
      <rPr>
        <sz val="9"/>
        <color rgb="FF595959"/>
        <rFont val="Arial"/>
        <family val="2"/>
      </rPr>
      <t>6</t>
    </r>
    <r>
      <rPr>
        <sz val="9"/>
        <color rgb="FF595959"/>
        <rFont val="Noto Sans CJK SC"/>
        <family val="2"/>
      </rPr>
      <t>统一整合。</t>
    </r>
  </si>
  <si>
    <r>
      <rPr>
        <b/>
        <sz val="14"/>
        <rFont val="Noto Sans CJK SC"/>
        <family val="2"/>
      </rPr>
      <t>每日排期（一页看</t>
    </r>
    <r>
      <rPr>
        <b/>
        <sz val="14"/>
        <rFont val="Arial"/>
        <family val="2"/>
      </rPr>
      <t>10</t>
    </r>
    <r>
      <rPr>
        <b/>
        <sz val="14"/>
        <rFont val="Noto Sans CJK SC"/>
        <family val="2"/>
      </rPr>
      <t>天）</t>
    </r>
  </si>
  <si>
    <r>
      <rPr>
        <sz val="10"/>
        <color rgb="FF595959"/>
        <rFont val="Noto Sans CJK SC"/>
        <family val="2"/>
      </rPr>
      <t>由各人任务按人天顺序自动排出；“贯穿”任务</t>
    </r>
    <r>
      <rPr>
        <sz val="10"/>
        <color rgb="FF595959"/>
        <rFont val="Arial"/>
        <family val="2"/>
      </rPr>
      <t>(</t>
    </r>
    <r>
      <rPr>
        <sz val="10"/>
        <color rgb="FF595959"/>
        <rFont val="Noto Sans CJK SC"/>
        <family val="2"/>
      </rPr>
      <t>组长事务、站会与答疑</t>
    </r>
    <r>
      <rPr>
        <sz val="10"/>
        <color rgb="FF595959"/>
        <rFont val="Arial"/>
        <family val="2"/>
      </rPr>
      <t>)</t>
    </r>
    <r>
      <rPr>
        <sz val="10"/>
        <color rgb="FF595959"/>
        <rFont val="Noto Sans CJK SC"/>
        <family val="2"/>
      </rPr>
      <t>未列入；改人天后请手工同步本页</t>
    </r>
  </si>
  <si>
    <t>日期</t>
  </si>
  <si>
    <r>
      <rPr>
        <b/>
        <sz val="10"/>
        <color rgb="FFFFFFFF"/>
        <rFont val="Noto Sans CJK SC"/>
        <family val="2"/>
      </rPr>
      <t>成员</t>
    </r>
    <r>
      <rPr>
        <b/>
        <sz val="10"/>
        <color rgb="FFFFFFFF"/>
        <rFont val="Arial"/>
        <family val="2"/>
      </rPr>
      <t xml:space="preserve">1
</t>
    </r>
    <r>
      <rPr>
        <b/>
        <sz val="10"/>
        <color rgb="FFFFFFFF"/>
        <rFont val="Noto Sans CJK SC"/>
        <family val="2"/>
      </rPr>
      <t>组长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Noto Sans CJK SC"/>
        <family val="2"/>
      </rPr>
      <t>主前端</t>
    </r>
  </si>
  <si>
    <r>
      <rPr>
        <b/>
        <sz val="10"/>
        <color rgb="FFFFFFFF"/>
        <rFont val="Noto Sans CJK SC"/>
        <family val="2"/>
      </rPr>
      <t>成员</t>
    </r>
    <r>
      <rPr>
        <b/>
        <sz val="10"/>
        <color rgb="FFFFFFFF"/>
        <rFont val="Arial"/>
        <family val="2"/>
      </rPr>
      <t xml:space="preserve">2
</t>
    </r>
    <r>
      <rPr>
        <b/>
        <sz val="10"/>
        <color rgb="FFFFFFFF"/>
        <rFont val="Noto Sans CJK SC"/>
        <family val="2"/>
      </rPr>
      <t>后端技术负责人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Noto Sans CJK SC"/>
        <family val="2"/>
      </rPr>
      <t>底座</t>
    </r>
  </si>
  <si>
    <r>
      <rPr>
        <b/>
        <sz val="10"/>
        <color rgb="FFFFFFFF"/>
        <rFont val="Noto Sans CJK SC"/>
        <family val="2"/>
      </rPr>
      <t>成员</t>
    </r>
    <r>
      <rPr>
        <b/>
        <sz val="10"/>
        <color rgb="FFFFFFFF"/>
        <rFont val="Arial"/>
        <family val="2"/>
      </rPr>
      <t xml:space="preserve">3
</t>
    </r>
    <r>
      <rPr>
        <b/>
        <sz val="10"/>
        <color rgb="FFFFFFFF"/>
        <rFont val="Noto Sans CJK SC"/>
        <family val="2"/>
      </rPr>
      <t>报名与审核后端</t>
    </r>
  </si>
  <si>
    <r>
      <rPr>
        <b/>
        <sz val="10"/>
        <color rgb="FFFFFFFF"/>
        <rFont val="Noto Sans CJK SC"/>
        <family val="2"/>
      </rPr>
      <t>成员</t>
    </r>
    <r>
      <rPr>
        <b/>
        <sz val="10"/>
        <color rgb="FFFFFFFF"/>
        <rFont val="Arial"/>
        <family val="2"/>
      </rPr>
      <t xml:space="preserve">4
</t>
    </r>
    <r>
      <rPr>
        <b/>
        <sz val="10"/>
        <color rgb="FFFFFFFF"/>
        <rFont val="Noto Sans CJK SC"/>
        <family val="2"/>
      </rPr>
      <t>人员与球队档案后端</t>
    </r>
  </si>
  <si>
    <r>
      <rPr>
        <b/>
        <sz val="10"/>
        <color rgb="FFFFFFFF"/>
        <rFont val="Noto Sans CJK SC"/>
        <family val="2"/>
      </rPr>
      <t>成员</t>
    </r>
    <r>
      <rPr>
        <b/>
        <sz val="10"/>
        <color rgb="FFFFFFFF"/>
        <rFont val="Arial"/>
        <family val="2"/>
      </rPr>
      <t xml:space="preserve">5
</t>
    </r>
    <r>
      <rPr>
        <b/>
        <sz val="10"/>
        <color rgb="FFFFFFFF"/>
        <rFont val="Noto Sans CJK SC"/>
        <family val="2"/>
      </rPr>
      <t>赛事运行与门户内容后端</t>
    </r>
  </si>
  <si>
    <r>
      <rPr>
        <b/>
        <sz val="10"/>
        <color rgb="FFFFFFFF"/>
        <rFont val="Noto Sans CJK SC"/>
        <family val="2"/>
      </rPr>
      <t>成员</t>
    </r>
    <r>
      <rPr>
        <b/>
        <sz val="10"/>
        <color rgb="FFFFFFFF"/>
        <rFont val="Arial"/>
        <family val="2"/>
      </rPr>
      <t xml:space="preserve">6
</t>
    </r>
    <r>
      <rPr>
        <b/>
        <sz val="10"/>
        <color rgb="FFFFFFFF"/>
        <rFont val="Noto Sans CJK SC"/>
        <family val="2"/>
      </rPr>
      <t>后端兼前端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门户</t>
    </r>
    <r>
      <rPr>
        <b/>
        <sz val="10"/>
        <color rgb="FFFFFFFF"/>
        <rFont val="Arial"/>
        <family val="2"/>
      </rPr>
      <t>·</t>
    </r>
    <r>
      <rPr>
        <b/>
        <sz val="10"/>
        <color rgb="FFFFFFFF"/>
        <rFont val="Noto Sans CJK SC"/>
        <family val="2"/>
      </rPr>
      <t>遴选</t>
    </r>
    <r>
      <rPr>
        <b/>
        <sz val="10"/>
        <color rgb="FFFFFFFF"/>
        <rFont val="Arial"/>
        <family val="2"/>
      </rPr>
      <t>)</t>
    </r>
  </si>
  <si>
    <t>当日验收门</t>
  </si>
  <si>
    <t>D1</t>
  </si>
  <si>
    <t>脚手架与角色菜单</t>
  </si>
  <si>
    <t>脚手架与环境</t>
  </si>
  <si>
    <r>
      <rPr>
        <sz val="10"/>
        <rFont val="Noto Sans CJK SC"/>
        <family val="2"/>
      </rPr>
      <t>接口契约</t>
    </r>
    <r>
      <rPr>
        <sz val="10"/>
        <rFont val="Arial"/>
        <family val="2"/>
      </rPr>
      <t xml:space="preserve">·Mock
</t>
    </r>
    <r>
      <rPr>
        <sz val="10"/>
        <rFont val="Noto Sans CJK SC"/>
        <family val="2"/>
      </rPr>
      <t>统一报名引擎</t>
    </r>
  </si>
  <si>
    <t>数据库总设计</t>
  </si>
  <si>
    <t>赛事配置</t>
  </si>
  <si>
    <t>样板对接
门户官网</t>
  </si>
  <si>
    <r>
      <rPr>
        <sz val="10"/>
        <color rgb="FF1F3864"/>
        <rFont val="Noto Sans CJK SC"/>
        <family val="2"/>
      </rPr>
      <t>全员本地能启动脚手架；</t>
    </r>
    <r>
      <rPr>
        <sz val="10"/>
        <color rgb="FF1F3864"/>
        <rFont val="Arial"/>
        <family val="2"/>
      </rPr>
      <t>ER</t>
    </r>
    <r>
      <rPr>
        <sz val="10"/>
        <color rgb="FF1F3864"/>
        <rFont val="Noto Sans CJK SC"/>
        <family val="2"/>
      </rPr>
      <t>与接口契约评审；</t>
    </r>
    <r>
      <rPr>
        <sz val="10"/>
        <color rgb="FF1F3864"/>
        <rFont val="Arial"/>
        <family val="2"/>
      </rPr>
      <t>D1</t>
    </r>
    <r>
      <rPr>
        <sz val="10"/>
        <color rgb="FF1F3864"/>
        <rFont val="Noto Sans CJK SC"/>
        <family val="2"/>
      </rPr>
      <t>需求确认</t>
    </r>
    <r>
      <rPr>
        <sz val="10"/>
        <color rgb="FF1F3864"/>
        <rFont val="Arial"/>
        <family val="2"/>
      </rPr>
      <t>(</t>
    </r>
    <r>
      <rPr>
        <sz val="10"/>
        <color rgb="FF1F3864"/>
        <rFont val="Noto Sans CJK SC"/>
        <family val="2"/>
      </rPr>
      <t>见“风险与砍法”</t>
    </r>
    <r>
      <rPr>
        <sz val="10"/>
        <color rgb="FF1F3864"/>
        <rFont val="Arial"/>
        <family val="2"/>
      </rPr>
      <t>)</t>
    </r>
  </si>
  <si>
    <t>D2</t>
  </si>
  <si>
    <t>通用组件</t>
  </si>
  <si>
    <t>文件服务</t>
  </si>
  <si>
    <t>统一报名引擎</t>
  </si>
  <si>
    <t>人员主档</t>
  </si>
  <si>
    <t>对阵编排</t>
  </si>
  <si>
    <t>门户官网</t>
  </si>
  <si>
    <r>
      <rPr>
        <sz val="10"/>
        <color rgb="FF1F3864"/>
        <rFont val="Noto Sans CJK SC"/>
        <family val="2"/>
      </rPr>
      <t>登录</t>
    </r>
    <r>
      <rPr>
        <sz val="10"/>
        <color rgb="FF1F3864"/>
        <rFont val="Arial"/>
        <family val="2"/>
      </rPr>
      <t>+</t>
    </r>
    <r>
      <rPr>
        <sz val="10"/>
        <color rgb="FF1F3864"/>
        <rFont val="Noto Sans CJK SC"/>
        <family val="2"/>
      </rPr>
      <t>角色菜单</t>
    </r>
    <r>
      <rPr>
        <sz val="10"/>
        <color rgb="FF1F3864"/>
        <rFont val="Arial"/>
        <family val="2"/>
      </rPr>
      <t>+</t>
    </r>
    <r>
      <rPr>
        <sz val="10"/>
        <color rgb="FF1F3864"/>
        <rFont val="Noto Sans CJK SC"/>
        <family val="2"/>
      </rPr>
      <t>文件上传可用；通用组件可复用；赛事配置只读接口、对阵接口可用</t>
    </r>
  </si>
  <si>
    <t>D3</t>
  </si>
  <si>
    <r>
      <rPr>
        <sz val="10"/>
        <rFont val="Noto Sans CJK SC"/>
        <family val="2"/>
      </rPr>
      <t>运动员端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教练员端</t>
    </r>
  </si>
  <si>
    <t>认证与权限</t>
  </si>
  <si>
    <t>人员主档
球队中心</t>
  </si>
  <si>
    <t>赛况事件流</t>
  </si>
  <si>
    <r>
      <rPr>
        <sz val="10"/>
        <color rgb="FF1F3864"/>
        <rFont val="Noto Sans CJK SC"/>
        <family val="2"/>
      </rPr>
      <t>人员主档可注册且身份证去重；报名引擎核心</t>
    </r>
    <r>
      <rPr>
        <sz val="10"/>
        <color rgb="FF1F3864"/>
        <rFont val="Arial"/>
        <family val="2"/>
      </rPr>
      <t>(</t>
    </r>
    <r>
      <rPr>
        <sz val="10"/>
        <color rgb="FF1F3864"/>
        <rFont val="Noto Sans CJK SC"/>
        <family val="2"/>
      </rPr>
      <t>类型</t>
    </r>
    <r>
      <rPr>
        <sz val="10"/>
        <color rgb="FF1F3864"/>
        <rFont val="Arial"/>
        <family val="2"/>
      </rPr>
      <t>/</t>
    </r>
    <r>
      <rPr>
        <sz val="10"/>
        <color rgb="FF1F3864"/>
        <rFont val="Noto Sans CJK SC"/>
        <family val="2"/>
      </rPr>
      <t>表单</t>
    </r>
    <r>
      <rPr>
        <sz val="10"/>
        <color rgb="FF1F3864"/>
        <rFont val="Arial"/>
        <family val="2"/>
      </rPr>
      <t>/</t>
    </r>
    <r>
      <rPr>
        <sz val="10"/>
        <color rgb="FF1F3864"/>
        <rFont val="Noto Sans CJK SC"/>
        <family val="2"/>
      </rPr>
      <t>快照</t>
    </r>
    <r>
      <rPr>
        <sz val="10"/>
        <color rgb="FF1F3864"/>
        <rFont val="Arial"/>
        <family val="2"/>
      </rPr>
      <t>)</t>
    </r>
    <r>
      <rPr>
        <sz val="10"/>
        <color rgb="FF1F3864"/>
        <rFont val="Noto Sans CJK SC"/>
        <family val="2"/>
      </rPr>
      <t>能提交</t>
    </r>
  </si>
  <si>
    <t>D4</t>
  </si>
  <si>
    <t>统一报名页</t>
  </si>
  <si>
    <t>认证与权限
组织与字典后台</t>
  </si>
  <si>
    <t>多级审核与规则预审</t>
  </si>
  <si>
    <t>球队中心</t>
  </si>
  <si>
    <t>遴选评分后端</t>
  </si>
  <si>
    <r>
      <rPr>
        <sz val="10"/>
        <color rgb="FF1F3864"/>
        <rFont val="Noto Sans CJK SC"/>
        <family val="2"/>
      </rPr>
      <t>第一条主链路：球队创建→报名提交→审核</t>
    </r>
    <r>
      <rPr>
        <sz val="10"/>
        <color rgb="FF1F3864"/>
        <rFont val="Arial"/>
        <family val="2"/>
      </rPr>
      <t>(</t>
    </r>
    <r>
      <rPr>
        <sz val="10"/>
        <color rgb="FF1F3864"/>
        <rFont val="Noto Sans CJK SC"/>
        <family val="2"/>
      </rPr>
      <t>可用</t>
    </r>
    <r>
      <rPr>
        <sz val="10"/>
        <color rgb="FF1F3864"/>
        <rFont val="Arial"/>
        <family val="2"/>
      </rPr>
      <t>Mock)</t>
    </r>
    <r>
      <rPr>
        <sz val="10"/>
        <color rgb="FF1F3864"/>
        <rFont val="Noto Sans CJK SC"/>
        <family val="2"/>
      </rPr>
      <t>；赛况可录入；权限与数据隔离可用</t>
    </r>
  </si>
  <si>
    <t>D5</t>
  </si>
  <si>
    <r>
      <rPr>
        <sz val="10"/>
        <rFont val="Noto Sans CJK SC"/>
        <family val="2"/>
      </rPr>
      <t>账号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日志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站内信</t>
    </r>
  </si>
  <si>
    <t>球队中心
通用履历引擎</t>
  </si>
  <si>
    <r>
      <rPr>
        <sz val="10"/>
        <rFont val="Noto Sans CJK SC"/>
        <family val="2"/>
      </rPr>
      <t>直播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链接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赛事文件</t>
    </r>
  </si>
  <si>
    <r>
      <rPr>
        <sz val="10"/>
        <color rgb="FF1F3864"/>
        <rFont val="Arial"/>
        <family val="2"/>
      </rPr>
      <t>D5</t>
    </r>
    <r>
      <rPr>
        <sz val="10"/>
        <color rgb="FF1F3864"/>
        <rFont val="Noto Sans CJK SC"/>
        <family val="2"/>
      </rPr>
      <t>检查点：</t>
    </r>
    <r>
      <rPr>
        <sz val="10"/>
        <color rgb="FF1F3864"/>
        <rFont val="Arial"/>
        <family val="2"/>
      </rPr>
      <t>P0</t>
    </r>
    <r>
      <rPr>
        <sz val="10"/>
        <color rgb="FF1F3864"/>
        <rFont val="Noto Sans CJK SC"/>
        <family val="2"/>
      </rPr>
      <t>是否落后，决定是否启动“降级清单”；多级审核、直播、文件可用</t>
    </r>
  </si>
  <si>
    <t>D6</t>
  </si>
  <si>
    <t>审核工作台</t>
  </si>
  <si>
    <r>
      <rPr>
        <sz val="10"/>
        <rFont val="Noto Sans CJK SC"/>
        <family val="2"/>
      </rPr>
      <t>人脸核验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精简</t>
    </r>
    <r>
      <rPr>
        <sz val="10"/>
        <rFont val="Arial"/>
        <family val="2"/>
      </rPr>
      <t>)</t>
    </r>
  </si>
  <si>
    <t>批量导入</t>
  </si>
  <si>
    <t>通用履历引擎</t>
  </si>
  <si>
    <r>
      <rPr>
        <sz val="10"/>
        <rFont val="Arial"/>
        <family val="2"/>
      </rPr>
      <t>CMS</t>
    </r>
    <r>
      <rPr>
        <sz val="10"/>
        <rFont val="Noto Sans CJK SC"/>
        <family val="2"/>
      </rPr>
      <t>与门户公开接口</t>
    </r>
  </si>
  <si>
    <t>遴选评分后端
公示后端</t>
  </si>
  <si>
    <r>
      <rPr>
        <sz val="10"/>
        <color rgb="FF1F3864"/>
        <rFont val="Noto Sans CJK SC"/>
        <family val="2"/>
      </rPr>
      <t>批量导入与照片匹配；履历引擎；遴选后端；人脸核验</t>
    </r>
    <r>
      <rPr>
        <sz val="10"/>
        <color rgb="FF1F3864"/>
        <rFont val="Arial"/>
        <family val="2"/>
      </rPr>
      <t>(</t>
    </r>
    <r>
      <rPr>
        <sz val="10"/>
        <color rgb="FF1F3864"/>
        <rFont val="Noto Sans CJK SC"/>
        <family val="2"/>
      </rPr>
      <t>精简</t>
    </r>
    <r>
      <rPr>
        <sz val="10"/>
        <color rgb="FF1F3864"/>
        <rFont val="Arial"/>
        <family val="2"/>
      </rPr>
      <t>)</t>
    </r>
  </si>
  <si>
    <t>D7</t>
  </si>
  <si>
    <t>比赛录入端</t>
  </si>
  <si>
    <r>
      <rPr>
        <sz val="10"/>
        <rFont val="Noto Sans CJK SC"/>
        <family val="2"/>
      </rPr>
      <t>政策与报名问答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精简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</si>
  <si>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PDF·Word</t>
    </r>
    <r>
      <rPr>
        <sz val="10"/>
        <rFont val="Noto Sans CJK SC"/>
        <family val="2"/>
      </rPr>
      <t>导出</t>
    </r>
  </si>
  <si>
    <t>管理员档案与参赛查看</t>
  </si>
  <si>
    <t>后台页与问答窗</t>
  </si>
  <si>
    <r>
      <rPr>
        <sz val="10"/>
        <color rgb="FF1F3864"/>
        <rFont val="Arial"/>
        <family val="2"/>
      </rPr>
      <t>P0</t>
    </r>
    <r>
      <rPr>
        <sz val="10"/>
        <color rgb="FF1F3864"/>
        <rFont val="Noto Sans CJK SC"/>
        <family val="2"/>
      </rPr>
      <t>后端功能冻结</t>
    </r>
    <r>
      <rPr>
        <sz val="10"/>
        <color rgb="FF1F3864"/>
        <rFont val="Arial"/>
        <family val="2"/>
      </rPr>
      <t>(</t>
    </r>
    <r>
      <rPr>
        <sz val="10"/>
        <color rgb="FF1F3864"/>
        <rFont val="Noto Sans CJK SC"/>
        <family val="2"/>
      </rPr>
      <t>报名、审核、档案、赛况、</t>
    </r>
    <r>
      <rPr>
        <sz val="10"/>
        <color rgb="FF1F3864"/>
        <rFont val="Arial"/>
        <family val="2"/>
      </rPr>
      <t>CMS</t>
    </r>
    <r>
      <rPr>
        <sz val="10"/>
        <color rgb="FF1F3864"/>
        <rFont val="Noto Sans CJK SC"/>
        <family val="2"/>
      </rPr>
      <t>、</t>
    </r>
    <r>
      <rPr>
        <sz val="10"/>
        <color rgb="FF1F3864"/>
        <rFont val="Arial"/>
        <family val="2"/>
      </rPr>
      <t>PDF/Word</t>
    </r>
    <r>
      <rPr>
        <sz val="10"/>
        <color rgb="FF1F3864"/>
        <rFont val="Noto Sans CJK SC"/>
        <family val="2"/>
      </rPr>
      <t>完成</t>
    </r>
    <r>
      <rPr>
        <sz val="10"/>
        <color rgb="FF1F3864"/>
        <rFont val="Arial"/>
        <family val="2"/>
      </rPr>
      <t>)</t>
    </r>
    <r>
      <rPr>
        <sz val="10"/>
        <color rgb="FF1F3864"/>
        <rFont val="Noto Sans CJK SC"/>
        <family val="2"/>
      </rPr>
      <t>；管理员档案、统计、榜单、安全最小集在</t>
    </r>
    <r>
      <rPr>
        <sz val="10"/>
        <color rgb="FF1F3864"/>
        <rFont val="Arial"/>
        <family val="2"/>
      </rPr>
      <t>D8</t>
    </r>
    <r>
      <rPr>
        <sz val="10"/>
        <color rgb="FF1F3864"/>
        <rFont val="Noto Sans CJK SC"/>
        <family val="2"/>
      </rPr>
      <t>上午前收尾</t>
    </r>
  </si>
  <si>
    <t>D8</t>
  </si>
  <si>
    <t>联调：报名与档案链路</t>
  </si>
  <si>
    <r>
      <rPr>
        <sz val="10"/>
        <rFont val="Noto Sans CJK SC"/>
        <family val="2"/>
      </rPr>
      <t>安全最小集
联调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部署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备份</t>
    </r>
  </si>
  <si>
    <t>报名统计与导出
联调与异常场景</t>
  </si>
  <si>
    <t>管理员档案与参赛查看
联调与关系回归</t>
  </si>
  <si>
    <t>榜单与统计</t>
  </si>
  <si>
    <t>后台页与问答窗
标准页整合</t>
  </si>
  <si>
    <t>联调开始：报名链路与档案链路切真实接口；榜单完成；安全最小集</t>
  </si>
  <si>
    <t>D9</t>
  </si>
  <si>
    <t>回归与比赛链路联调</t>
  </si>
  <si>
    <r>
      <rPr>
        <sz val="10"/>
        <rFont val="Noto Sans CJK SC"/>
        <family val="2"/>
      </rPr>
      <t>联调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部署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备份</t>
    </r>
  </si>
  <si>
    <t>联调与异常场景</t>
  </si>
  <si>
    <t>联调与关系回归</t>
  </si>
  <si>
    <t>联调与对账</t>
  </si>
  <si>
    <t>标准页整合
联调与修复</t>
  </si>
  <si>
    <r>
      <rPr>
        <sz val="10"/>
        <color rgb="FF1F3864"/>
        <rFont val="Noto Sans CJK SC"/>
        <family val="2"/>
      </rPr>
      <t>比赛链路联调；</t>
    </r>
    <r>
      <rPr>
        <sz val="10"/>
        <color rgb="FF1F3864"/>
        <rFont val="Arial"/>
        <family val="2"/>
      </rPr>
      <t>P0/P1</t>
    </r>
    <r>
      <rPr>
        <sz val="10"/>
        <color rgb="FF1F3864"/>
        <rFont val="Noto Sans CJK SC"/>
        <family val="2"/>
      </rPr>
      <t>缺陷清零；权限回归；</t>
    </r>
    <r>
      <rPr>
        <sz val="10"/>
        <color rgb="FF1F3864"/>
        <rFont val="Arial"/>
        <family val="2"/>
      </rPr>
      <t>244</t>
    </r>
    <r>
      <rPr>
        <sz val="10"/>
        <color rgb="FF1F3864"/>
        <rFont val="Noto Sans CJK SC"/>
        <family val="2"/>
      </rPr>
      <t>条逐项核对</t>
    </r>
  </si>
  <si>
    <t>D10</t>
  </si>
  <si>
    <t>验收与演示</t>
  </si>
  <si>
    <t>联调与修复</t>
  </si>
  <si>
    <t>部署、初始化数据、演示、备份与回滚预案；验收签字</t>
  </si>
  <si>
    <r>
      <rPr>
        <b/>
        <sz val="14"/>
        <rFont val="Noto Sans CJK SC"/>
        <family val="2"/>
      </rPr>
      <t>成员</t>
    </r>
    <r>
      <rPr>
        <b/>
        <sz val="14"/>
        <rFont val="Arial"/>
        <family val="2"/>
      </rPr>
      <t>1</t>
    </r>
    <r>
      <rPr>
        <b/>
        <sz val="14"/>
        <rFont val="Noto Sans CJK SC"/>
        <family val="2"/>
      </rPr>
      <t>｜组长</t>
    </r>
    <r>
      <rPr>
        <b/>
        <sz val="14"/>
        <rFont val="Arial"/>
        <family val="2"/>
      </rPr>
      <t>·</t>
    </r>
    <r>
      <rPr>
        <b/>
        <sz val="14"/>
        <rFont val="Noto Sans CJK SC"/>
        <family val="2"/>
      </rPr>
      <t>主前端</t>
    </r>
  </si>
  <si>
    <r>
      <rPr>
        <sz val="10"/>
        <color rgb="FF595959"/>
        <rFont val="Noto Sans CJK SC"/>
        <family val="2"/>
      </rPr>
      <t>负责复杂页面和公共组件：运动员</t>
    </r>
    <r>
      <rPr>
        <sz val="10"/>
        <color rgb="FF595959"/>
        <rFont val="Arial"/>
        <family val="2"/>
      </rPr>
      <t>/</t>
    </r>
    <r>
      <rPr>
        <sz val="10"/>
        <color rgb="FF595959"/>
        <rFont val="Noto Sans CJK SC"/>
        <family val="2"/>
      </rPr>
      <t>教练员端、统一报名页、审核工作台、比赛录入端；同时是组长，只做范围裁决与验收。先搭前端框架与通用组件，再做复杂业务页面，</t>
    </r>
    <r>
      <rPr>
        <sz val="10"/>
        <color rgb="FF595959"/>
        <rFont val="Arial"/>
        <family val="2"/>
      </rPr>
      <t>D8</t>
    </r>
    <r>
      <rPr>
        <sz val="10"/>
        <color rgb="FF595959"/>
        <rFont val="Noto Sans CJK SC"/>
        <family val="2"/>
      </rPr>
      <t>起联调。</t>
    </r>
  </si>
  <si>
    <r>
      <rPr>
        <sz val="9"/>
        <color rgb="FF7F7F7F"/>
        <rFont val="Noto Sans CJK SC"/>
        <family val="2"/>
      </rPr>
      <t>计划日由“人天”顺序累计自动计算</t>
    </r>
    <r>
      <rPr>
        <sz val="9"/>
        <color rgb="FF7F7F7F"/>
        <rFont val="Arial"/>
        <family val="2"/>
      </rPr>
      <t>(</t>
    </r>
    <r>
      <rPr>
        <sz val="9"/>
        <color rgb="FF7F7F7F"/>
        <rFont val="Noto Sans CJK SC"/>
        <family val="2"/>
      </rPr>
      <t>蓝色为可改输入</t>
    </r>
    <r>
      <rPr>
        <sz val="9"/>
        <color rgb="FF7F7F7F"/>
        <rFont val="Arial"/>
        <family val="2"/>
      </rPr>
      <t>)</t>
    </r>
    <r>
      <rPr>
        <sz val="9"/>
        <color rgb="FF7F7F7F"/>
        <rFont val="Noto Sans CJK SC"/>
        <family val="2"/>
      </rPr>
      <t>；类型“后端”含自己用生成器出的标准页；最后的“贯穿”任务不占顺序排期。</t>
    </r>
  </si>
  <si>
    <r>
      <rPr>
        <b/>
        <sz val="10"/>
        <color rgb="FFFFFFFF"/>
        <rFont val="Noto Sans CJK SC"/>
        <family val="2"/>
      </rPr>
      <t>任务</t>
    </r>
    <r>
      <rPr>
        <b/>
        <sz val="10"/>
        <color rgb="FFFFFFFF"/>
        <rFont val="Arial"/>
        <family val="2"/>
      </rPr>
      <t>ID</t>
    </r>
  </si>
  <si>
    <t>计划日</t>
  </si>
  <si>
    <t>工作内容</t>
  </si>
  <si>
    <t>具体要做什么</t>
  </si>
  <si>
    <t>类型</t>
  </si>
  <si>
    <t>人天</t>
  </si>
  <si>
    <t>优先级</t>
  </si>
  <si>
    <r>
      <rPr>
        <b/>
        <sz val="10"/>
        <color rgb="FFFFFFFF"/>
        <rFont val="Noto Sans CJK SC"/>
        <family val="2"/>
      </rPr>
      <t>前置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配合</t>
    </r>
  </si>
  <si>
    <r>
      <rPr>
        <b/>
        <sz val="10"/>
        <color rgb="FFFFFFFF"/>
        <rFont val="Noto Sans CJK SC"/>
        <family val="2"/>
      </rPr>
      <t>完成标准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可检验</t>
    </r>
    <r>
      <rPr>
        <b/>
        <sz val="10"/>
        <color rgb="FFFFFFFF"/>
        <rFont val="Arial"/>
        <family val="2"/>
      </rPr>
      <t>)</t>
    </r>
  </si>
  <si>
    <t>对应模块</t>
  </si>
  <si>
    <t>进度</t>
  </si>
  <si>
    <r>
      <rPr>
        <b/>
        <sz val="10"/>
        <color rgb="FFFFFFFF"/>
        <rFont val="Noto Sans CJK SC"/>
        <family val="2"/>
      </rPr>
      <t>起点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人天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</si>
  <si>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终点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人天</t>
    </r>
    <r>
      <rPr>
        <b/>
        <sz val="10"/>
        <color rgb="FFFFFFFF"/>
        <rFont val="Arial"/>
        <family val="2"/>
      </rPr>
      <t>)</t>
    </r>
  </si>
  <si>
    <t>T1-01</t>
  </si>
  <si>
    <r>
      <rPr>
        <sz val="10"/>
        <rFont val="Noto Sans CJK SC"/>
        <family val="2"/>
      </rPr>
      <t>前端脚手架与</t>
    </r>
    <r>
      <rPr>
        <sz val="10"/>
        <rFont val="Arial"/>
        <family val="2"/>
      </rPr>
      <t>UI</t>
    </r>
    <r>
      <rPr>
        <sz val="10"/>
        <rFont val="Noto Sans CJK SC"/>
        <family val="2"/>
      </rPr>
      <t>规范</t>
    </r>
  </si>
  <si>
    <r>
      <rPr>
        <sz val="10"/>
        <rFont val="Noto Sans CJK SC"/>
        <family val="2"/>
      </rPr>
      <t>基于现成后台模板</t>
    </r>
    <r>
      <rPr>
        <sz val="10"/>
        <rFont val="Arial"/>
        <family val="2"/>
      </rPr>
      <t>(Vue3+Vite+TS)</t>
    </r>
    <r>
      <rPr>
        <sz val="10"/>
        <rFont val="Noto Sans CJK SC"/>
        <family val="2"/>
      </rPr>
      <t>：布局、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类角色菜单与路由守卫、请求封装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统一返回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错误码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、登录页、表单与表格规范，接入成员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提供的接口文档与</t>
    </r>
    <r>
      <rPr>
        <sz val="10"/>
        <rFont val="Arial"/>
        <family val="2"/>
      </rPr>
      <t>Mock</t>
    </r>
  </si>
  <si>
    <t>前端</t>
  </si>
  <si>
    <t>P0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</si>
  <si>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的脚手架</t>
    </r>
    <r>
      <rPr>
        <sz val="10"/>
        <rFont val="Arial"/>
        <family val="2"/>
      </rPr>
      <t>(D1</t>
    </r>
    <r>
      <rPr>
        <sz val="10"/>
        <rFont val="Noto Sans CJK SC"/>
        <family val="2"/>
      </rPr>
      <t>上午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同步学习代码生成器</t>
    </r>
  </si>
  <si>
    <r>
      <rPr>
        <sz val="10"/>
        <rFont val="Arial"/>
        <family val="2"/>
      </rPr>
      <t>8</t>
    </r>
    <r>
      <rPr>
        <sz val="10"/>
        <rFont val="Noto Sans CJK SC"/>
        <family val="2"/>
      </rPr>
      <t>类角色登录后只看到各自菜单；越权路由不可达；构建通过；成员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照样板可独立做一页</t>
    </r>
  </si>
  <si>
    <t>0.1</t>
  </si>
  <si>
    <t>未开始</t>
  </si>
  <si>
    <t>T1-02</t>
  </si>
  <si>
    <t>通用组件库</t>
  </si>
  <si>
    <r>
      <rPr>
        <sz val="10"/>
        <rFont val="Noto Sans CJK SC"/>
        <family val="2"/>
      </rPr>
      <t>批量上传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含照片裁剪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导入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逐行错误展示、审核抽屉、搜索表格模板、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预览与下载、通用履历表单组件</t>
    </r>
  </si>
  <si>
    <r>
      <rPr>
        <sz val="10"/>
        <rFont val="Arial"/>
        <family val="2"/>
      </rPr>
      <t>T1-01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文件服务</t>
    </r>
    <r>
      <rPr>
        <sz val="10"/>
        <rFont val="Arial"/>
        <family val="2"/>
      </rPr>
      <t>(D2)</t>
    </r>
  </si>
  <si>
    <r>
      <rPr>
        <sz val="10"/>
        <rFont val="Noto Sans CJK SC"/>
        <family val="2"/>
      </rPr>
      <t>每个组件有示例页；成员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与各后端可直接复用；文件过大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类型不符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上传失败均有提示</t>
    </r>
  </si>
  <si>
    <t>0.3, 0.4</t>
  </si>
  <si>
    <t>T1-03</t>
  </si>
  <si>
    <t>运动员端、教练员端页面</t>
  </si>
  <si>
    <r>
      <rPr>
        <sz val="10"/>
        <rFont val="Noto Sans CJK SC"/>
        <family val="2"/>
      </rPr>
      <t>注册、信息完善与确认、数据匹配提示、个人中心、通用履历材料表单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运动员</t>
    </r>
    <r>
      <rPr>
        <sz val="10"/>
        <rFont val="Arial"/>
        <family val="2"/>
      </rPr>
      <t>9</t>
    </r>
    <r>
      <rPr>
        <sz val="10"/>
        <rFont val="Noto Sans CJK SC"/>
        <family val="2"/>
      </rPr>
      <t>项、教练员约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项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、所属队伍与公示查看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</si>
  <si>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人员主档接口</t>
    </r>
    <r>
      <rPr>
        <sz val="10"/>
        <rFont val="Arial"/>
        <family val="2"/>
      </rPr>
      <t>(D3)</t>
    </r>
    <r>
      <rPr>
        <sz val="10"/>
        <rFont val="Noto Sans CJK SC"/>
        <family val="2"/>
      </rPr>
      <t>；履历接口</t>
    </r>
    <r>
      <rPr>
        <sz val="10"/>
        <rFont val="Arial"/>
        <family val="2"/>
      </rPr>
      <t>(D6)</t>
    </r>
    <r>
      <rPr>
        <sz val="10"/>
        <rFont val="Noto Sans CJK SC"/>
        <family val="2"/>
      </rPr>
      <t>先用</t>
    </r>
    <r>
      <rPr>
        <sz val="10"/>
        <rFont val="Arial"/>
        <family val="2"/>
      </rPr>
      <t>Mock</t>
    </r>
  </si>
  <si>
    <r>
      <rPr>
        <sz val="10"/>
        <rFont val="Noto Sans CJK SC"/>
        <family val="2"/>
      </rPr>
      <t>运动员与教练员可注册、完善信息并上传全部履历材料；同一身份证不重复建档；履历接口</t>
    </r>
    <r>
      <rPr>
        <sz val="10"/>
        <rFont val="Arial"/>
        <family val="2"/>
      </rPr>
      <t>D8</t>
    </r>
    <r>
      <rPr>
        <sz val="10"/>
        <rFont val="Noto Sans CJK SC"/>
        <family val="2"/>
      </rPr>
      <t>前切为真实接口</t>
    </r>
  </si>
  <si>
    <t>2.1, 2.2, 2.3</t>
  </si>
  <si>
    <t>T1-04</t>
  </si>
  <si>
    <r>
      <rPr>
        <sz val="10"/>
        <rFont val="Noto Sans CJK SC"/>
        <family val="2"/>
      </rPr>
      <t>统一报名页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球队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市州同一套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</si>
  <si>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赛事列表、报名表单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按主体类型显示字段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、球员单个与批量报送</t>
    </r>
    <r>
      <rPr>
        <sz val="10"/>
        <rFont val="Arial"/>
        <family val="2"/>
      </rPr>
      <t>(Excel</t>
    </r>
    <r>
      <rPr>
        <sz val="10"/>
        <rFont val="Noto Sans CJK SC"/>
        <family val="2"/>
      </rPr>
      <t>导入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照片</t>
    </r>
    <r>
      <rPr>
        <sz val="10"/>
        <rFont val="Arial"/>
        <family val="2"/>
      </rPr>
      <t>ZIP)</t>
    </r>
    <r>
      <rPr>
        <sz val="10"/>
        <rFont val="Noto Sans CJK SC"/>
        <family val="2"/>
      </rPr>
      <t>、材料上传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盖章扫描件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学籍证明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、搜索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删除、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与</t>
    </r>
    <r>
      <rPr>
        <sz val="10"/>
        <rFont val="Arial"/>
        <family val="2"/>
      </rPr>
      <t>Word</t>
    </r>
    <r>
      <rPr>
        <sz val="10"/>
        <rFont val="Noto Sans CJK SC"/>
        <family val="2"/>
      </rPr>
      <t>导出、审核状态与结果查看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</si>
  <si>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报名引擎</t>
    </r>
    <r>
      <rPr>
        <sz val="10"/>
        <rFont val="Arial"/>
        <family val="2"/>
      </rPr>
      <t>(D3)</t>
    </r>
    <r>
      <rPr>
        <sz val="10"/>
        <rFont val="Noto Sans CJK SC"/>
        <family val="2"/>
      </rPr>
      <t>；批量导入</t>
    </r>
    <r>
      <rPr>
        <sz val="10"/>
        <rFont val="Arial"/>
        <family val="2"/>
      </rPr>
      <t>(D6)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PDF(D7)</t>
    </r>
    <r>
      <rPr>
        <sz val="10"/>
        <rFont val="Noto Sans CJK SC"/>
        <family val="2"/>
      </rPr>
      <t>先用</t>
    </r>
    <r>
      <rPr>
        <sz val="10"/>
        <rFont val="Arial"/>
        <family val="2"/>
      </rPr>
      <t>Mock</t>
    </r>
  </si>
  <si>
    <t>球队、高校、市州三类主体各自跑通“填表→报送球员→传材料→提交→看结果”；原上传、查询、修改、删除均可用</t>
  </si>
  <si>
    <t>4.1, 4.3</t>
  </si>
  <si>
    <t>T1-05</t>
  </si>
  <si>
    <t>市州与省级审核工作台</t>
  </si>
  <si>
    <r>
      <rPr>
        <sz val="10"/>
        <rFont val="Noto Sans CJK SC"/>
        <family val="2"/>
      </rPr>
      <t>审核列表与筛选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队名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组别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状态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、详情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盖章扫描件与学籍材料查看下载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、通过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驳回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原因、退回重报闭环、统计与导出入口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</si>
  <si>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多级审核</t>
    </r>
    <r>
      <rPr>
        <sz val="10"/>
        <rFont val="Arial"/>
        <family val="2"/>
      </rPr>
      <t>(D5)</t>
    </r>
  </si>
  <si>
    <t>市州、省级权限正确；驳回后球队可改后重报；每一步有审核记录</t>
  </si>
  <si>
    <t>4.2, 4.3</t>
  </si>
  <si>
    <t>T1-06</t>
  </si>
  <si>
    <r>
      <rPr>
        <sz val="10"/>
        <rFont val="Noto Sans CJK SC"/>
        <family val="2"/>
      </rPr>
      <t>赛事录入端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优先平板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手机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</si>
  <si>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对阵与裁判信息、进球与判罚录入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增改删查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、图文直播发布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</si>
  <si>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赛况与直播接口</t>
    </r>
    <r>
      <rPr>
        <sz val="10"/>
        <rFont val="Arial"/>
        <family val="2"/>
      </rPr>
      <t>(D4–D5)</t>
    </r>
  </si>
  <si>
    <r>
      <rPr>
        <sz val="10"/>
        <rFont val="Noto Sans CJK SC"/>
        <family val="2"/>
      </rPr>
      <t>现场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步内可录入一次进球；改错后比分与榜单同步</t>
    </r>
  </si>
  <si>
    <t>5.1, 5.2, 5.4</t>
  </si>
  <si>
    <t>T1-07</t>
  </si>
  <si>
    <t>报名链路与档案链路联调</t>
  </si>
  <si>
    <r>
      <rPr>
        <sz val="10"/>
        <rFont val="Arial"/>
        <family val="2"/>
      </rPr>
      <t>D8</t>
    </r>
    <r>
      <rPr>
        <sz val="10"/>
        <rFont val="Noto Sans CJK SC"/>
        <family val="2"/>
      </rPr>
      <t>起：①球队→市州→省级→导出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；②档案→公示；把</t>
    </r>
    <r>
      <rPr>
        <sz val="10"/>
        <rFont val="Arial"/>
        <family val="2"/>
      </rPr>
      <t>Mock</t>
    </r>
    <r>
      <rPr>
        <sz val="10"/>
        <rFont val="Noto Sans CJK SC"/>
        <family val="2"/>
      </rPr>
      <t>全部切为真实接口并记录缺陷清单</t>
    </r>
  </si>
  <si>
    <t>联调</t>
  </si>
  <si>
    <r>
      <rPr>
        <sz val="10"/>
        <rFont val="Noto Sans CJK SC"/>
        <family val="2"/>
      </rPr>
      <t>全员；成员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分派缺陷</t>
    </r>
  </si>
  <si>
    <t>两条链路各完整跑通一遍，缺陷有清单有责任人</t>
  </si>
  <si>
    <t>—</t>
  </si>
  <si>
    <t>T1-08</t>
  </si>
  <si>
    <t>全角色回归与缺陷修复</t>
  </si>
  <si>
    <r>
      <rPr>
        <sz val="10"/>
        <rFont val="Noto Sans CJK SC"/>
        <family val="2"/>
      </rPr>
      <t>比赛链路联调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录入→直播→榜单→门户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；全角色主流程、权限按钮、加载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空态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错误提示、下载导出、常用屏幕与微信内打开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</si>
  <si>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缺陷分派；成员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、成员</t>
    </r>
    <r>
      <rPr>
        <sz val="10"/>
        <rFont val="Arial"/>
        <family val="2"/>
      </rPr>
      <t>6</t>
    </r>
  </si>
  <si>
    <r>
      <rPr>
        <sz val="10"/>
        <rFont val="Arial"/>
        <family val="2"/>
      </rPr>
      <t>P0/P1</t>
    </r>
    <r>
      <rPr>
        <sz val="10"/>
        <rFont val="Noto Sans CJK SC"/>
        <family val="2"/>
      </rPr>
      <t>缺陷清零；全角色主流程无阻断</t>
    </r>
  </si>
  <si>
    <t>T1-09</t>
  </si>
  <si>
    <r>
      <rPr>
        <sz val="10"/>
        <rFont val="Noto Sans CJK SC"/>
        <family val="2"/>
      </rPr>
      <t>对照“原</t>
    </r>
    <r>
      <rPr>
        <sz val="10"/>
        <rFont val="Arial"/>
        <family val="2"/>
      </rPr>
      <t>244</t>
    </r>
    <r>
      <rPr>
        <sz val="10"/>
        <rFont val="Noto Sans CJK SC"/>
        <family val="2"/>
      </rPr>
      <t>功能核对”表逐条给出结论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通过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降级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待确认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；准备演示账号与数据；发布</t>
    </r>
  </si>
  <si>
    <t>管理</t>
  </si>
  <si>
    <t>全员</t>
  </si>
  <si>
    <r>
      <rPr>
        <sz val="10"/>
        <rFont val="Arial"/>
        <family val="2"/>
      </rPr>
      <t>244</t>
    </r>
    <r>
      <rPr>
        <sz val="10"/>
        <rFont val="Noto Sans CJK SC"/>
        <family val="2"/>
      </rPr>
      <t>条均有结论；演示脚本完整跑通</t>
    </r>
  </si>
  <si>
    <t>T1-10</t>
  </si>
  <si>
    <r>
      <rPr>
        <b/>
        <sz val="10"/>
        <rFont val="Arial"/>
        <family val="2"/>
      </rPr>
      <t>D1–D10</t>
    </r>
    <r>
      <rPr>
        <b/>
        <sz val="10"/>
        <rFont val="Noto Sans CJK SC"/>
        <family val="2"/>
      </rPr>
      <t>贯穿</t>
    </r>
  </si>
  <si>
    <t>范围裁决与验收</t>
  </si>
  <si>
    <r>
      <rPr>
        <sz val="10"/>
        <rFont val="Noto Sans CJK SC"/>
        <family val="2"/>
      </rPr>
      <t>每日</t>
    </r>
    <r>
      <rPr>
        <sz val="10"/>
        <rFont val="Arial"/>
        <family val="2"/>
      </rPr>
      <t>15</t>
    </r>
    <r>
      <rPr>
        <sz val="10"/>
        <rFont val="Noto Sans CJK SC"/>
        <family val="2"/>
      </rPr>
      <t>分钟站会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由成员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主持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；需求与范围裁决；</t>
    </r>
    <r>
      <rPr>
        <sz val="10"/>
        <rFont val="Arial"/>
        <family val="2"/>
      </rPr>
      <t>D5</t>
    </r>
    <r>
      <rPr>
        <sz val="10"/>
        <rFont val="Noto Sans CJK SC"/>
        <family val="2"/>
      </rPr>
      <t>检查点决定是否启动“降级清单”；不参与日常缺陷分派</t>
    </r>
  </si>
  <si>
    <t>每天有站会纪要；砍深度的决定当天书面记录</t>
  </si>
  <si>
    <r>
      <rPr>
        <b/>
        <sz val="14"/>
        <rFont val="Noto Sans CJK SC"/>
        <family val="2"/>
      </rPr>
      <t>成员</t>
    </r>
    <r>
      <rPr>
        <b/>
        <sz val="14"/>
        <rFont val="Arial"/>
        <family val="2"/>
      </rPr>
      <t>2</t>
    </r>
    <r>
      <rPr>
        <b/>
        <sz val="14"/>
        <rFont val="Noto Sans CJK SC"/>
        <family val="2"/>
      </rPr>
      <t>｜后端技术负责人</t>
    </r>
    <r>
      <rPr>
        <b/>
        <sz val="14"/>
        <rFont val="Arial"/>
        <family val="2"/>
      </rPr>
      <t>·</t>
    </r>
    <r>
      <rPr>
        <b/>
        <sz val="14"/>
        <rFont val="Noto Sans CJK SC"/>
        <family val="2"/>
      </rPr>
      <t>底座</t>
    </r>
  </si>
  <si>
    <r>
      <rPr>
        <sz val="10"/>
        <color rgb="FF595959"/>
        <rFont val="Noto Sans CJK SC"/>
        <family val="2"/>
      </rPr>
      <t>负责后端框架和公共能力：脚手架与环境、文件、认证权限、组织字典、账号日志消息、人脸核验</t>
    </r>
    <r>
      <rPr>
        <sz val="10"/>
        <color rgb="FF595959"/>
        <rFont val="Arial"/>
        <family val="2"/>
      </rPr>
      <t>(</t>
    </r>
    <r>
      <rPr>
        <sz val="10"/>
        <color rgb="FF595959"/>
        <rFont val="Noto Sans CJK SC"/>
        <family val="2"/>
      </rPr>
      <t>精简</t>
    </r>
    <r>
      <rPr>
        <sz val="10"/>
        <color rgb="FF595959"/>
        <rFont val="Arial"/>
        <family val="2"/>
      </rPr>
      <t>)</t>
    </r>
    <r>
      <rPr>
        <sz val="10"/>
        <color rgb="FF595959"/>
        <rFont val="Noto Sans CJK SC"/>
        <family val="2"/>
      </rPr>
      <t>、政策问答</t>
    </r>
    <r>
      <rPr>
        <sz val="10"/>
        <color rgb="FF595959"/>
        <rFont val="Arial"/>
        <family val="2"/>
      </rPr>
      <t>(</t>
    </r>
    <r>
      <rPr>
        <sz val="10"/>
        <color rgb="FF595959"/>
        <rFont val="Noto Sans CJK SC"/>
        <family val="2"/>
      </rPr>
      <t>精简</t>
    </r>
    <r>
      <rPr>
        <sz val="10"/>
        <color rgb="FF595959"/>
        <rFont val="Arial"/>
        <family val="2"/>
      </rPr>
      <t>)</t>
    </r>
    <r>
      <rPr>
        <sz val="10"/>
        <color rgb="FF595959"/>
        <rFont val="Noto Sans CJK SC"/>
        <family val="2"/>
      </rPr>
      <t>、安全最小集，以及联调与部署；主持每日站会、分派缺陷。</t>
    </r>
  </si>
  <si>
    <t>T2-01</t>
  </si>
  <si>
    <t>后端工程、环境与接口文档</t>
  </si>
  <si>
    <r>
      <rPr>
        <sz val="10"/>
        <rFont val="Arial"/>
        <family val="2"/>
      </rPr>
      <t>Spring Boot+Maven</t>
    </r>
    <r>
      <rPr>
        <sz val="10"/>
        <rFont val="Noto Sans CJK SC"/>
        <family val="2"/>
      </rPr>
      <t>多模块、代码生成器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同时出前后端标准页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、统一返回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异常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分页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校验、身份证与手机号加解密及脱敏工具类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建档时直接使用，避免数据先明文入库再补救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Docker Compose(MySQL/Redis/MinIO/Nginx)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Swagger</t>
    </r>
    <r>
      <rPr>
        <sz val="10"/>
        <rFont val="Noto Sans CJK SC"/>
        <family val="2"/>
      </rPr>
      <t>或</t>
    </r>
    <r>
      <rPr>
        <sz val="10"/>
        <rFont val="Arial"/>
        <family val="2"/>
      </rPr>
      <t>Apifox+Mock</t>
    </r>
  </si>
  <si>
    <t>后端</t>
  </si>
  <si>
    <r>
      <rPr>
        <sz val="10"/>
        <rFont val="Noto Sans CJK SC"/>
        <family val="2"/>
      </rPr>
      <t>无</t>
    </r>
    <r>
      <rPr>
        <sz val="10"/>
        <rFont val="Arial"/>
        <family val="2"/>
      </rPr>
      <t>(D1</t>
    </r>
    <r>
      <rPr>
        <sz val="10"/>
        <rFont val="Noto Sans CJK SC"/>
        <family val="2"/>
      </rPr>
      <t>上午交付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</si>
  <si>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全员当天能在本地启动并访问</t>
    </r>
    <r>
      <rPr>
        <sz val="10"/>
        <rFont val="Arial"/>
        <family val="2"/>
      </rPr>
      <t>Mock</t>
    </r>
    <r>
      <rPr>
        <sz val="10"/>
        <rFont val="Noto Sans CJK SC"/>
        <family val="2"/>
      </rPr>
      <t>；生成器可一键出一个标准页</t>
    </r>
  </si>
  <si>
    <t>工程</t>
  </si>
  <si>
    <t>T2-02</t>
  </si>
  <si>
    <t>文件与材料服务</t>
  </si>
  <si>
    <r>
      <rPr>
        <sz val="10"/>
        <rFont val="Arial"/>
        <family val="2"/>
      </rPr>
      <t>MinIO</t>
    </r>
    <r>
      <rPr>
        <sz val="10"/>
        <rFont val="Noto Sans CJK SC"/>
        <family val="2"/>
      </rPr>
      <t>对接；单个与批量上传；类型与大小校验；照片缩略图；私有材料受控下载链接</t>
    </r>
  </si>
  <si>
    <t>合法文件上传成功、非法类型被拒；未授权用户打不开报名材料</t>
  </si>
  <si>
    <t>0.4</t>
  </si>
  <si>
    <t>T2-03</t>
  </si>
  <si>
    <t>登录认证、角色与数据权限</t>
  </si>
  <si>
    <r>
      <rPr>
        <sz val="10"/>
        <rFont val="Noto Sans CJK SC"/>
        <family val="2"/>
      </rPr>
      <t>登录与</t>
    </r>
    <r>
      <rPr>
        <sz val="10"/>
        <rFont val="Arial"/>
        <family val="2"/>
      </rPr>
      <t>Token</t>
    </r>
    <r>
      <rPr>
        <sz val="10"/>
        <rFont val="Noto Sans CJK SC"/>
        <family val="2"/>
      </rPr>
      <t>；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类角色与菜单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按钮权限；数据权限：市州只见本市、高校只见本校、球队只见本队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服务端统一过滤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；账号停用；密码哈希</t>
    </r>
  </si>
  <si>
    <r>
      <rPr>
        <sz val="10"/>
        <rFont val="Arial"/>
        <family val="2"/>
      </rPr>
      <t>T2-01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组织与字典初始数据</t>
    </r>
  </si>
  <si>
    <t>改请求参数也不能跨球队、跨市州访问；有越权自动化用例</t>
  </si>
  <si>
    <t>T2-04</t>
  </si>
  <si>
    <t>组织机构与基础字典维护</t>
  </si>
  <si>
    <r>
      <rPr>
        <sz val="10"/>
        <rFont val="Noto Sans CJK SC"/>
        <family val="2"/>
      </rPr>
      <t>省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市州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学校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球队组织树；组别、赛事类别、审核状态、材料类型字典维护页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生成器出页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</si>
  <si>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初始数据脚本</t>
    </r>
  </si>
  <si>
    <t>字典有缓存；后台可增改</t>
  </si>
  <si>
    <t>0.2</t>
  </si>
  <si>
    <t>T2-05</t>
  </si>
  <si>
    <t>账号管理、日志审计、站内信</t>
  </si>
  <si>
    <r>
      <rPr>
        <sz val="10"/>
        <rFont val="Noto Sans CJK SC"/>
        <family val="2"/>
      </rPr>
      <t>账号查询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重置密码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启停；操作日志</t>
    </r>
    <r>
      <rPr>
        <sz val="10"/>
        <rFont val="Arial"/>
        <family val="2"/>
      </rPr>
      <t>(AOP)</t>
    </r>
    <r>
      <rPr>
        <sz val="10"/>
        <rFont val="Noto Sans CJK SC"/>
        <family val="2"/>
      </rPr>
      <t>、登录日志、报名日志及查询；站内信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审核结果、驳回通知、已读未读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；三项均用生成器出页</t>
    </r>
  </si>
  <si>
    <t>P1</t>
  </si>
  <si>
    <r>
      <rPr>
        <sz val="10"/>
        <rFont val="Arial"/>
        <family val="2"/>
      </rPr>
      <t>T2-03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审核事件</t>
    </r>
  </si>
  <si>
    <t>关键操作有留痕；球队只能看自己的消息；重置密码留痕</t>
  </si>
  <si>
    <t>0.5, 0.6, 0.7</t>
  </si>
  <si>
    <t>T2-06</t>
  </si>
  <si>
    <t>赛事现场身份核验</t>
  </si>
  <si>
    <r>
      <rPr>
        <sz val="10"/>
        <rFont val="Noto Sans CJK SC"/>
        <family val="2"/>
      </rPr>
      <t>接入一个现成的人脸比对服务或</t>
    </r>
    <r>
      <rPr>
        <sz val="10"/>
        <rFont val="Arial"/>
        <family val="2"/>
      </rPr>
      <t>SDK</t>
    </r>
    <r>
      <rPr>
        <sz val="10"/>
        <rFont val="Noto Sans CJK SC"/>
        <family val="2"/>
      </rPr>
      <t>；保存核验结果与记录；无法识别或不符时进入人工复核；未接通则降级为“现场拍照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人工确认”</t>
    </r>
  </si>
  <si>
    <t>P2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</si>
  <si>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结果页；</t>
    </r>
    <r>
      <rPr>
        <sz val="10"/>
        <rFont val="Arial"/>
        <family val="2"/>
      </rPr>
      <t>D1</t>
    </r>
    <r>
      <rPr>
        <sz val="10"/>
        <rFont val="Noto Sans CJK SC"/>
        <family val="2"/>
      </rPr>
      <t>确认是否必须接第三方识别</t>
    </r>
  </si>
  <si>
    <t>正常、不符、无法识别三种结果均有明确提示并可人工复核</t>
  </si>
  <si>
    <t>5.6</t>
  </si>
  <si>
    <t>T2-07</t>
  </si>
  <si>
    <t>唯一的大模型功能</t>
  </si>
  <si>
    <r>
      <rPr>
        <sz val="10"/>
        <rFont val="Noto Sans CJK SC"/>
        <family val="2"/>
      </rPr>
      <t>把已发布的政策、规程、报名指南整理成文本入库；调用一个大模型</t>
    </r>
    <r>
      <rPr>
        <sz val="10"/>
        <rFont val="Arial"/>
        <family val="2"/>
      </rPr>
      <t>API(</t>
    </r>
    <r>
      <rPr>
        <sz val="10"/>
        <rFont val="Noto Sans CJK SC"/>
        <family val="2"/>
      </rPr>
      <t>服务端保管密钥，一个适配类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；答案必须附政策出处，无依据时提示“未找到依据”；超时或不可用时降级为显示政策列表；不引入向量库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</si>
  <si>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提供正式政策文本；成员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做问答窗</t>
    </r>
  </si>
  <si>
    <t>回答带出处；无依据不乱答；关闭开关后主流程不受影响；身份证、照片等个人信息不送模型</t>
  </si>
  <si>
    <t>8.1</t>
  </si>
  <si>
    <t>T2-08</t>
  </si>
  <si>
    <t>敏感信息保护</t>
  </si>
  <si>
    <r>
      <rPr>
        <sz val="10"/>
        <rFont val="Noto Sans CJK SC"/>
        <family val="2"/>
      </rPr>
      <t>复核全部接口、日志、公示、导出中的身份证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手机号脱敏与加密存储是否生效；文件私有访问复核；</t>
    </r>
    <r>
      <rPr>
        <sz val="10"/>
        <rFont val="Arial"/>
        <family val="2"/>
      </rPr>
      <t>HTTPS</t>
    </r>
    <r>
      <rPr>
        <sz val="10"/>
        <rFont val="Noto Sans CJK SC"/>
        <family val="2"/>
      </rPr>
      <t>配置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</si>
  <si>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提供敏感字段清单</t>
    </r>
  </si>
  <si>
    <r>
      <rPr>
        <sz val="10"/>
        <rFont val="Noto Sans CJK SC"/>
        <family val="2"/>
      </rPr>
      <t>日志与导出中看不到完整身份证号；抽查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个接口无越权</t>
    </r>
  </si>
  <si>
    <t>0.8</t>
  </si>
  <si>
    <t>T2-09</t>
  </si>
  <si>
    <t>联调支持与上线</t>
  </si>
  <si>
    <r>
      <rPr>
        <sz val="10"/>
        <rFont val="Noto Sans CJK SC"/>
        <family val="2"/>
      </rPr>
      <t>联调日值班与缺陷分派；权限与数据隔离回归；报名提交并发冒烟</t>
    </r>
    <r>
      <rPr>
        <sz val="10"/>
        <rFont val="Arial"/>
        <family val="2"/>
      </rPr>
      <t>(50</t>
    </r>
    <r>
      <rPr>
        <sz val="10"/>
        <rFont val="Noto Sans CJK SC"/>
        <family val="2"/>
      </rPr>
      <t>并发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；部署、初始化账号与字典、备份恢复演练、回滚方案、操作说明</t>
    </r>
  </si>
  <si>
    <t>可按说明从零部署并回滚；备份可恢复；回归清单全绿</t>
  </si>
  <si>
    <t>T2-10</t>
  </si>
  <si>
    <t>站会主持与技术答疑</t>
  </si>
  <si>
    <t>每日站会主持；脚手架与权限答疑；缺陷分派；保证测试环境每天可访问</t>
  </si>
  <si>
    <t>组长</t>
  </si>
  <si>
    <t>测试环境每天可访问；缺陷当天有人认领</t>
  </si>
  <si>
    <r>
      <rPr>
        <b/>
        <sz val="14"/>
        <rFont val="Noto Sans CJK SC"/>
        <family val="2"/>
      </rPr>
      <t>成员</t>
    </r>
    <r>
      <rPr>
        <b/>
        <sz val="14"/>
        <rFont val="Arial"/>
        <family val="2"/>
      </rPr>
      <t>3</t>
    </r>
    <r>
      <rPr>
        <b/>
        <sz val="14"/>
        <rFont val="Noto Sans CJK SC"/>
        <family val="2"/>
      </rPr>
      <t>｜报名与审核后端</t>
    </r>
  </si>
  <si>
    <r>
      <rPr>
        <sz val="10"/>
        <color rgb="FF595959"/>
        <rFont val="Noto Sans CJK SC"/>
        <family val="2"/>
      </rPr>
      <t>负责所有主体的报名、逐级审核、批量导入、</t>
    </r>
    <r>
      <rPr>
        <sz val="10"/>
        <color rgb="FF595959"/>
        <rFont val="Arial"/>
        <family val="2"/>
      </rPr>
      <t>PDF</t>
    </r>
    <r>
      <rPr>
        <sz val="10"/>
        <color rgb="FF595959"/>
        <rFont val="Noto Sans CJK SC"/>
        <family val="2"/>
      </rPr>
      <t>与</t>
    </r>
    <r>
      <rPr>
        <sz val="10"/>
        <color rgb="FF595959"/>
        <rFont val="Arial"/>
        <family val="2"/>
      </rPr>
      <t>Word</t>
    </r>
    <r>
      <rPr>
        <sz val="10"/>
        <color rgb="FF595959"/>
        <rFont val="Noto Sans CJK SC"/>
        <family val="2"/>
      </rPr>
      <t>导出、报名统计；审核中的“预审”用规则校验实现。先定契约与报名引擎，再做审核、导入、导出。</t>
    </r>
  </si>
  <si>
    <t>T3-01</t>
  </si>
  <si>
    <t>报名域接口契约与表结构</t>
  </si>
  <si>
    <t>统一字段、枚举、错误码、分页；报名与审核接口文档；按角色准备脱敏联调数据；报名域表结构评审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</si>
  <si>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的</t>
    </r>
    <r>
      <rPr>
        <sz val="10"/>
        <rFont val="Arial"/>
        <family val="2"/>
      </rPr>
      <t>ER</t>
    </r>
    <r>
      <rPr>
        <sz val="10"/>
        <rFont val="Noto Sans CJK SC"/>
        <family val="2"/>
      </rPr>
      <t>总图</t>
    </r>
    <r>
      <rPr>
        <sz val="10"/>
        <rFont val="Arial"/>
        <family val="2"/>
      </rPr>
      <t>(D1)</t>
    </r>
  </si>
  <si>
    <r>
      <rPr>
        <sz val="10"/>
        <rFont val="Noto Sans CJK SC"/>
        <family val="2"/>
      </rPr>
      <t>前后端按同一份契约并行；</t>
    </r>
    <r>
      <rPr>
        <sz val="10"/>
        <rFont val="Arial"/>
        <family val="2"/>
      </rPr>
      <t>Mock</t>
    </r>
    <r>
      <rPr>
        <sz val="10"/>
        <rFont val="Noto Sans CJK SC"/>
        <family val="2"/>
      </rPr>
      <t>可访问</t>
    </r>
  </si>
  <si>
    <t>4.1</t>
  </si>
  <si>
    <t>T3-02</t>
  </si>
  <si>
    <r>
      <rPr>
        <sz val="10"/>
        <rFont val="Noto Sans CJK SC"/>
        <family val="2"/>
      </rPr>
      <t>主体类型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中小学球队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市州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用类型字段区分；报名表单与赛事列表；球员单个报送；提交时冻结报名快照；报名窗口与截止控制；搜索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队名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组别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状态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、修改、删除；提交接口幂等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</si>
  <si>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赛事配置只读接口</t>
    </r>
    <r>
      <rPr>
        <sz val="10"/>
        <rFont val="Arial"/>
        <family val="2"/>
      </rPr>
      <t>(D1)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人员主档与球队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先用种子数据</t>
    </r>
    <r>
      <rPr>
        <sz val="10"/>
        <rFont val="Arial"/>
        <family val="2"/>
      </rPr>
      <t>)</t>
    </r>
  </si>
  <si>
    <t>三类主体共用一套代码；截止后无法提交；之后修改个人资料不影响已提交快照</t>
  </si>
  <si>
    <t>T3-03</t>
  </si>
  <si>
    <t>审核流转与材料齐全性校验</t>
  </si>
  <si>
    <r>
      <rPr>
        <sz val="10"/>
        <rFont val="Noto Sans CJK SC"/>
        <family val="2"/>
      </rPr>
      <t>球队→市州→省级、高校→省级；通过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驳回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原因</t>
    </r>
    <r>
      <rPr>
        <sz val="10"/>
        <rFont val="Arial"/>
        <family val="2"/>
      </rPr>
      <t>)/</t>
    </r>
    <r>
      <rPr>
        <sz val="10"/>
        <rFont val="Noto Sans CJK SC"/>
        <family val="2"/>
      </rPr>
      <t>撤回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重报；审核记录；材料齐全性规则校验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缺盖章扫描件、缺学籍材料、姓名或身份证与档案不一致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作为“预审”，不用大模型</t>
    </r>
  </si>
  <si>
    <r>
      <rPr>
        <sz val="10"/>
        <rFont val="Arial"/>
        <family val="2"/>
      </rPr>
      <t>T3-02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站内信</t>
    </r>
  </si>
  <si>
    <t>每一步有审核记录；驳回后可改后重报；缺材料给出明确提示</t>
  </si>
  <si>
    <t>0.3, 4.2</t>
  </si>
  <si>
    <t>T3-04</t>
  </si>
  <si>
    <r>
      <rPr>
        <sz val="10"/>
        <rFont val="Noto Sans CJK SC"/>
        <family val="2"/>
      </rPr>
      <t>球员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批量导入与照片</t>
    </r>
    <r>
      <rPr>
        <sz val="10"/>
        <rFont val="Arial"/>
        <family val="2"/>
      </rPr>
      <t>ZIP</t>
    </r>
    <r>
      <rPr>
        <sz val="10"/>
        <rFont val="Noto Sans CJK SC"/>
        <family val="2"/>
      </rPr>
      <t>匹配</t>
    </r>
  </si>
  <si>
    <r>
      <rPr>
        <sz val="10"/>
        <rFont val="Noto Sans CJK SC"/>
        <family val="2"/>
      </rPr>
      <t>模板下载、逐行校验与错误明细导出、照片按身份证命名自动匹配；球队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市州共用</t>
    </r>
  </si>
  <si>
    <r>
      <rPr>
        <sz val="10"/>
        <rFont val="Arial"/>
        <family val="2"/>
      </rPr>
      <t>T3-02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文件服务</t>
    </r>
  </si>
  <si>
    <r>
      <rPr>
        <sz val="10"/>
        <rFont val="Arial"/>
        <family val="2"/>
      </rPr>
      <t>1000</t>
    </r>
    <r>
      <rPr>
        <sz val="10"/>
        <rFont val="Noto Sans CJK SC"/>
        <family val="2"/>
      </rPr>
      <t>行导入给出逐行错误；未匹配照片清单可下载</t>
    </r>
  </si>
  <si>
    <t>T3-05</t>
  </si>
  <si>
    <r>
      <rPr>
        <sz val="10"/>
        <rFont val="Noto Sans CJK SC"/>
        <family val="2"/>
      </rPr>
      <t>报名表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与球员信息表</t>
    </r>
    <r>
      <rPr>
        <sz val="10"/>
        <rFont val="Arial"/>
        <family val="2"/>
      </rPr>
      <t>Word</t>
    </r>
  </si>
  <si>
    <r>
      <rPr>
        <sz val="10"/>
        <rFont val="Noto Sans CJK SC"/>
        <family val="2"/>
      </rPr>
      <t>模板化生成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中文字体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；单个与批量导出；盖章扫描件与学籍材料的上传、查看、下载接口</t>
    </r>
  </si>
  <si>
    <r>
      <rPr>
        <sz val="10"/>
        <rFont val="Arial"/>
        <family val="2"/>
      </rPr>
      <t>PDF</t>
    </r>
    <r>
      <rPr>
        <sz val="10"/>
        <rFont val="Noto Sans CJK SC"/>
        <family val="2"/>
      </rPr>
      <t>与</t>
    </r>
    <r>
      <rPr>
        <sz val="10"/>
        <rFont val="Arial"/>
        <family val="2"/>
      </rPr>
      <t>Word</t>
    </r>
    <r>
      <rPr>
        <sz val="10"/>
        <rFont val="Noto Sans CJK SC"/>
        <family val="2"/>
      </rPr>
      <t>可打开且内容正确；</t>
    </r>
    <r>
      <rPr>
        <sz val="10"/>
        <rFont val="Arial"/>
        <family val="2"/>
      </rPr>
      <t>100</t>
    </r>
    <r>
      <rPr>
        <sz val="10"/>
        <rFont val="Noto Sans CJK SC"/>
        <family val="2"/>
      </rPr>
      <t>名球员的报名表可在可接受时间内生成</t>
    </r>
  </si>
  <si>
    <t>4.3</t>
  </si>
  <si>
    <t>T3-06</t>
  </si>
  <si>
    <t>报名统计与导出</t>
  </si>
  <si>
    <r>
      <rPr>
        <sz val="10"/>
        <rFont val="Noto Sans CJK SC"/>
        <family val="2"/>
      </rPr>
      <t>市州与高校报名情况统计、全市汇总、赛事报名情况导出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生成器出页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；数据量小时同步导出</t>
    </r>
  </si>
  <si>
    <t>统计口径与明细一致；导出文件可打开</t>
  </si>
  <si>
    <t>4.4</t>
  </si>
  <si>
    <t>T3-07</t>
  </si>
  <si>
    <t>报名全链路联调</t>
  </si>
  <si>
    <t>球队、高校、市州、省级完整链路；重复提交、退回重报、截止边界、批量错误；报名提交并发冒烟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</si>
  <si>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4</t>
    </r>
  </si>
  <si>
    <t>完整链路与异常场景全部通过</t>
  </si>
  <si>
    <r>
      <rPr>
        <b/>
        <sz val="14"/>
        <rFont val="Noto Sans CJK SC"/>
        <family val="2"/>
      </rPr>
      <t>成员</t>
    </r>
    <r>
      <rPr>
        <b/>
        <sz val="14"/>
        <rFont val="Arial"/>
        <family val="2"/>
      </rPr>
      <t>4</t>
    </r>
    <r>
      <rPr>
        <b/>
        <sz val="14"/>
        <rFont val="Noto Sans CJK SC"/>
        <family val="2"/>
      </rPr>
      <t>｜人员与球队档案后端</t>
    </r>
  </si>
  <si>
    <r>
      <rPr>
        <sz val="10"/>
        <color rgb="FF595959"/>
        <rFont val="Noto Sans CJK SC"/>
        <family val="2"/>
      </rPr>
      <t>负责数据库总设计、运动员</t>
    </r>
    <r>
      <rPr>
        <sz val="10"/>
        <color rgb="FF595959"/>
        <rFont val="Arial"/>
        <family val="2"/>
      </rPr>
      <t>/</t>
    </r>
    <r>
      <rPr>
        <sz val="10"/>
        <color rgb="FF595959"/>
        <rFont val="Noto Sans CJK SC"/>
        <family val="2"/>
      </rPr>
      <t>教练员主档、球队中心、通用履历引擎、管理员档案与参赛查看、遴选档案聚合。先建库与主档，向成员</t>
    </r>
    <r>
      <rPr>
        <sz val="10"/>
        <color rgb="FF595959"/>
        <rFont val="Arial"/>
        <family val="2"/>
      </rPr>
      <t>3</t>
    </r>
    <r>
      <rPr>
        <sz val="10"/>
        <color rgb="FF595959"/>
        <rFont val="Noto Sans CJK SC"/>
        <family val="2"/>
      </rPr>
      <t>提供人员与球队接口。</t>
    </r>
  </si>
  <si>
    <t>T4-01</t>
  </si>
  <si>
    <t>数据库总设计与初始化</t>
  </si>
  <si>
    <r>
      <rPr>
        <sz val="10"/>
        <rFont val="Noto Sans CJK SC"/>
        <family val="2"/>
      </rPr>
      <t>人员、球队、报名名单、赛事、评分的</t>
    </r>
    <r>
      <rPr>
        <sz val="10"/>
        <rFont val="Arial"/>
        <family val="2"/>
      </rPr>
      <t>ER</t>
    </r>
    <r>
      <rPr>
        <sz val="10"/>
        <rFont val="Noto Sans CJK SC"/>
        <family val="2"/>
      </rPr>
      <t>总图；公共字段、软删除、命名统一；建表与初始数据脚本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含字典、市州、学校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；约定统一内部</t>
    </r>
    <r>
      <rPr>
        <sz val="10"/>
        <rFont val="Arial"/>
        <family val="2"/>
      </rPr>
      <t>ID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</si>
  <si>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、成员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、成员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细化各自表结构</t>
    </r>
  </si>
  <si>
    <r>
      <rPr>
        <sz val="10"/>
        <rFont val="Arial"/>
        <family val="2"/>
      </rPr>
      <t>ER</t>
    </r>
    <r>
      <rPr>
        <sz val="10"/>
        <rFont val="Noto Sans CJK SC"/>
        <family val="2"/>
      </rPr>
      <t>图评审通过；空库可一键初始化；人员、球队、比赛不重复建主表</t>
    </r>
  </si>
  <si>
    <t>T4-02</t>
  </si>
  <si>
    <t>运动员与教练员主档</t>
  </si>
  <si>
    <r>
      <rPr>
        <sz val="10"/>
        <rFont val="Noto Sans CJK SC"/>
        <family val="2"/>
      </rPr>
      <t>注册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身份证与手机号校验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、个人信息完善与确认；以身份证为唯一键去重与数据匹配合并；教练员个人中心与修改；公示字段白名单</t>
    </r>
  </si>
  <si>
    <r>
      <rPr>
        <sz val="10"/>
        <rFont val="Arial"/>
        <family val="2"/>
      </rPr>
      <t>T4-01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认证</t>
    </r>
  </si>
  <si>
    <t>同一身份证只有一份档案；合并留痕；运动员与教练员能注册并完善信息</t>
  </si>
  <si>
    <t>2.1, 2.3</t>
  </si>
  <si>
    <t>T4-03</t>
  </si>
  <si>
    <t>球队档案、成员、教练员</t>
  </si>
  <si>
    <r>
      <rPr>
        <sz val="10"/>
        <rFont val="Noto Sans CJK SC"/>
        <family val="2"/>
      </rPr>
      <t>球队创建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队旗队徽、简介、合照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；球队成员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关联唯一人员档案、照片、按姓名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身份证搜索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；球队教练员关联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类别与审核状态筛选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；生成器出页</t>
    </r>
  </si>
  <si>
    <r>
      <rPr>
        <sz val="10"/>
        <rFont val="Arial"/>
        <family val="2"/>
      </rPr>
      <t>T4-02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文件服务</t>
    </r>
  </si>
  <si>
    <t>成员不重复存储身份信息；改个人资料不改变已提交的历史名单</t>
  </si>
  <si>
    <t>3.1, 3.2, 3.3</t>
  </si>
  <si>
    <t>T4-04</t>
  </si>
  <si>
    <r>
      <rPr>
        <sz val="10"/>
        <rFont val="Noto Sans CJK SC"/>
        <family val="2"/>
      </rPr>
      <t>履历材料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通用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</si>
  <si>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材料类型配置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附件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审核状态，覆盖运动员与教练员约</t>
    </r>
    <r>
      <rPr>
        <sz val="10"/>
        <rFont val="Arial"/>
        <family val="2"/>
      </rPr>
      <t>19</t>
    </r>
    <r>
      <rPr>
        <sz val="10"/>
        <rFont val="Noto Sans CJK SC"/>
        <family val="2"/>
      </rPr>
      <t>类，以及球队材料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训练计划、荣誉、参赛、对阵记录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；新增类型只改配置</t>
    </r>
  </si>
  <si>
    <t>新增一种材料类型不用新写接口；材料可查询、编辑、删除并有审核状态</t>
  </si>
  <si>
    <t>2.2, 3.2</t>
  </si>
  <si>
    <t>T4-05</t>
  </si>
  <si>
    <t>管理员端档案管理</t>
  </si>
  <si>
    <r>
      <rPr>
        <sz val="10"/>
        <rFont val="Noto Sans CJK SC"/>
        <family val="2"/>
      </rPr>
      <t>球员与教练员按姓名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身份证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类别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审核状态搜索、增改删、头像；参赛查看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按市州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赛事类别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队名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；遴选档案聚合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按身份证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按队伍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；生成器出页</t>
    </r>
  </si>
  <si>
    <r>
      <rPr>
        <sz val="10"/>
        <rFont val="Arial"/>
        <family val="2"/>
      </rPr>
      <t>T4-02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T4-03</t>
    </r>
  </si>
  <si>
    <t>组合条件加分页可用；修改留痕；教练员搜索只保留一处接口</t>
  </si>
  <si>
    <t>2.4, 3.4, 6.1</t>
  </si>
  <si>
    <t>T4-06</t>
  </si>
  <si>
    <t>档案联调与回归</t>
  </si>
  <si>
    <r>
      <rPr>
        <sz val="10"/>
        <rFont val="Noto Sans CJK SC"/>
        <family val="2"/>
      </rPr>
      <t>转队与关系变更、历史快照不受影响、公示取消、删除前关联检查、敏感字段隔离；配合成员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在</t>
    </r>
    <r>
      <rPr>
        <sz val="10"/>
        <rFont val="Arial"/>
        <family val="2"/>
      </rPr>
      <t>D8</t>
    </r>
    <r>
      <rPr>
        <sz val="10"/>
        <rFont val="Noto Sans CJK SC"/>
        <family val="2"/>
      </rPr>
      <t>把</t>
    </r>
    <r>
      <rPr>
        <sz val="10"/>
        <rFont val="Arial"/>
        <family val="2"/>
      </rPr>
      <t>Mock</t>
    </r>
    <r>
      <rPr>
        <sz val="10"/>
        <rFont val="Noto Sans CJK SC"/>
        <family val="2"/>
      </rPr>
      <t>切为真实接口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</si>
  <si>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6</t>
    </r>
  </si>
  <si>
    <t>历史资料正确；不能跨队查看私有材料</t>
  </si>
  <si>
    <r>
      <rPr>
        <b/>
        <sz val="14"/>
        <rFont val="Noto Sans CJK SC"/>
        <family val="2"/>
      </rPr>
      <t>成员</t>
    </r>
    <r>
      <rPr>
        <b/>
        <sz val="14"/>
        <rFont val="Arial"/>
        <family val="2"/>
      </rPr>
      <t>5</t>
    </r>
    <r>
      <rPr>
        <b/>
        <sz val="14"/>
        <rFont val="Noto Sans CJK SC"/>
        <family val="2"/>
      </rPr>
      <t>｜赛事运行与门户内容后端</t>
    </r>
  </si>
  <si>
    <r>
      <rPr>
        <sz val="10"/>
        <color rgb="FF595959"/>
        <rFont val="Noto Sans CJK SC"/>
        <family val="2"/>
      </rPr>
      <t>负责赛事配置、对阵、赛况事件流、图文直播与赛事文件、</t>
    </r>
    <r>
      <rPr>
        <sz val="10"/>
        <color rgb="FF595959"/>
        <rFont val="Arial"/>
        <family val="2"/>
      </rPr>
      <t>CMS</t>
    </r>
    <r>
      <rPr>
        <sz val="10"/>
        <color rgb="FF595959"/>
        <rFont val="Noto Sans CJK SC"/>
        <family val="2"/>
      </rPr>
      <t>与门户公开接口、榜单与统计。先交赛事配置只读接口，再做比赛与门户内容。</t>
    </r>
  </si>
  <si>
    <t>T5-01</t>
  </si>
  <si>
    <t>赛事与组别配置</t>
  </si>
  <si>
    <r>
      <rPr>
        <sz val="10"/>
        <rFont val="Noto Sans CJK SC"/>
        <family val="2"/>
      </rPr>
      <t>赛事、届次、组别与名额、报名窗口与截止、资格规则参数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年龄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学籍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、赛程阶段；先交只读接口给成员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；生成器出管理页</t>
    </r>
  </si>
  <si>
    <t>配置可被报名与比赛读取；关闭报名后不能新提交</t>
  </si>
  <si>
    <t>1.1</t>
  </si>
  <si>
    <t>T5-02</t>
  </si>
  <si>
    <r>
      <rPr>
        <sz val="10"/>
        <rFont val="Noto Sans CJK SC"/>
        <family val="2"/>
      </rPr>
      <t>对阵创建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按状态、按球队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、发布上线；对阵作为单一数据源，门户只读已发布数据</t>
    </r>
  </si>
  <si>
    <t>录入端与门户使用同一份对阵数据</t>
  </si>
  <si>
    <t>5.1</t>
  </si>
  <si>
    <t>T5-03</t>
  </si>
  <si>
    <t>赛况录入</t>
  </si>
  <si>
    <r>
      <rPr>
        <sz val="10"/>
        <rFont val="Noto Sans CJK SC"/>
        <family val="2"/>
      </rPr>
      <t>比赛事件表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进球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判罚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换人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；裁判员与对阵双方信息；录入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查看；修改与删除留痕</t>
    </r>
  </si>
  <si>
    <t>一场比赛从录入到比分变化可跑通；事件按时间序列存储</t>
  </si>
  <si>
    <t>5.2</t>
  </si>
  <si>
    <t>T5-04</t>
  </si>
  <si>
    <t>图文直播与赛事文件</t>
  </si>
  <si>
    <r>
      <rPr>
        <sz val="10"/>
        <rFont val="Noto Sans CJK SC"/>
        <family val="2"/>
      </rPr>
      <t>图文直播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短轮询刷新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、直播链接管理；签到表、记录集签字确认表、裁判员报告书上传与查询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生成器出页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</si>
  <si>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T5-03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文件服务</t>
    </r>
  </si>
  <si>
    <t>发布后刷新页面可见新直播；文件可上传下载</t>
  </si>
  <si>
    <t>5.3, 5.4</t>
  </si>
  <si>
    <t>T5-05</t>
  </si>
  <si>
    <t>内容管理引擎</t>
  </si>
  <si>
    <r>
      <rPr>
        <sz val="10"/>
        <rFont val="Noto Sans CJK SC"/>
        <family val="2"/>
      </rPr>
      <t>新闻、政策、精彩瞬间、最佳阵容共用一套内容表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内容类型字段区分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：发布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查看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上下线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置顶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按类别搜索；轮播图、新闻跳转图、合作方链接与图片；门户公开接口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免登录、简单缓存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；富文本防</t>
    </r>
    <r>
      <rPr>
        <sz val="10"/>
        <rFont val="Arial"/>
        <family val="2"/>
      </rPr>
      <t>XSS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</si>
  <si>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文件服务</t>
    </r>
  </si>
  <si>
    <t>新增内容类型只改配置；公开接口只返回已发布内容</t>
  </si>
  <si>
    <t>7.1, 7.2</t>
  </si>
  <si>
    <t>T5-06</t>
  </si>
  <si>
    <t>成绩与榜单</t>
  </si>
  <si>
    <r>
      <rPr>
        <sz val="10"/>
        <rFont val="Noto Sans CJK SC"/>
        <family val="2"/>
      </rPr>
      <t>赛果发布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查看；进球榜与高校、中学、小学组进球统计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由赛况事件派生，组别为参数</t>
    </r>
    <r>
      <rPr>
        <sz val="10"/>
        <rFont val="Arial"/>
        <family val="2"/>
      </rPr>
      <t>)</t>
    </r>
  </si>
  <si>
    <t>修改进球事件后，比分、进球榜、三类组别统计同步更新</t>
  </si>
  <si>
    <t>5.5</t>
  </si>
  <si>
    <t>T5-07</t>
  </si>
  <si>
    <t>比赛—门户—榜单联调</t>
  </si>
  <si>
    <r>
      <rPr>
        <sz val="10"/>
        <rFont val="Noto Sans CJK SC"/>
        <family val="2"/>
      </rPr>
      <t>进球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判罚增改删、比赛状态、门户展示、分组榜单、链接与文件两端对账；赛事日演练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含断网重试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</si>
  <si>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6</t>
    </r>
  </si>
  <si>
    <t>修正进球后，门户比分、进球榜、组别统计一致</t>
  </si>
  <si>
    <r>
      <rPr>
        <b/>
        <sz val="14"/>
        <rFont val="Noto Sans CJK SC"/>
        <family val="2"/>
      </rPr>
      <t>成员</t>
    </r>
    <r>
      <rPr>
        <b/>
        <sz val="14"/>
        <rFont val="Arial"/>
        <family val="2"/>
      </rPr>
      <t>6</t>
    </r>
    <r>
      <rPr>
        <b/>
        <sz val="14"/>
        <rFont val="Noto Sans CJK SC"/>
        <family val="2"/>
      </rPr>
      <t>｜后端兼前端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>门户</t>
    </r>
    <r>
      <rPr>
        <b/>
        <sz val="14"/>
        <rFont val="Arial"/>
        <family val="2"/>
      </rPr>
      <t>·</t>
    </r>
    <r>
      <rPr>
        <b/>
        <sz val="14"/>
        <rFont val="Noto Sans CJK SC"/>
        <family val="2"/>
      </rPr>
      <t>遴选</t>
    </r>
    <r>
      <rPr>
        <b/>
        <sz val="14"/>
        <rFont val="Arial"/>
        <family val="2"/>
      </rPr>
      <t>)</t>
    </r>
  </si>
  <si>
    <r>
      <rPr>
        <sz val="10"/>
        <color rgb="FF595959"/>
        <rFont val="Noto Sans CJK SC"/>
        <family val="2"/>
      </rPr>
      <t>后端兼前端：门户官网</t>
    </r>
    <r>
      <rPr>
        <sz val="10"/>
        <color rgb="FF595959"/>
        <rFont val="Arial"/>
        <family val="2"/>
      </rPr>
      <t>(</t>
    </r>
    <r>
      <rPr>
        <sz val="10"/>
        <color rgb="FF595959"/>
        <rFont val="Noto Sans CJK SC"/>
        <family val="2"/>
      </rPr>
      <t>套模板</t>
    </r>
    <r>
      <rPr>
        <sz val="10"/>
        <color rgb="FF595959"/>
        <rFont val="Arial"/>
        <family val="2"/>
      </rPr>
      <t>)</t>
    </r>
    <r>
      <rPr>
        <sz val="10"/>
        <color rgb="FF595959"/>
        <rFont val="Noto Sans CJK SC"/>
        <family val="2"/>
      </rPr>
      <t>、遴选评分后端、公示后端、</t>
    </r>
    <r>
      <rPr>
        <sz val="10"/>
        <color rgb="FF595959"/>
        <rFont val="Arial"/>
        <family val="2"/>
      </rPr>
      <t>CMS</t>
    </r>
    <r>
      <rPr>
        <sz val="10"/>
        <color rgb="FF595959"/>
        <rFont val="Noto Sans CJK SC"/>
        <family val="2"/>
      </rPr>
      <t>后台页</t>
    </r>
    <r>
      <rPr>
        <sz val="10"/>
        <color rgb="FF595959"/>
        <rFont val="Arial"/>
        <family val="2"/>
      </rPr>
      <t>/</t>
    </r>
    <r>
      <rPr>
        <sz val="10"/>
        <color rgb="FF595959"/>
        <rFont val="Noto Sans CJK SC"/>
        <family val="2"/>
      </rPr>
      <t>遴选页</t>
    </r>
    <r>
      <rPr>
        <sz val="10"/>
        <color rgb="FF595959"/>
        <rFont val="Arial"/>
        <family val="2"/>
      </rPr>
      <t>/</t>
    </r>
    <r>
      <rPr>
        <sz val="10"/>
        <color rgb="FF595959"/>
        <rFont val="Noto Sans CJK SC"/>
        <family val="2"/>
      </rPr>
      <t>公示页、问答窗与标准页整合。先按成员</t>
    </r>
    <r>
      <rPr>
        <sz val="10"/>
        <color rgb="FF595959"/>
        <rFont val="Arial"/>
        <family val="2"/>
      </rPr>
      <t>1</t>
    </r>
    <r>
      <rPr>
        <sz val="10"/>
        <color rgb="FF595959"/>
        <rFont val="Noto Sans CJK SC"/>
        <family val="2"/>
      </rPr>
      <t>样板做页，</t>
    </r>
    <r>
      <rPr>
        <sz val="10"/>
        <color rgb="FF595959"/>
        <rFont val="Arial"/>
        <family val="2"/>
      </rPr>
      <t>D4–D6</t>
    </r>
    <r>
      <rPr>
        <sz val="10"/>
        <color rgb="FF595959"/>
        <rFont val="Noto Sans CJK SC"/>
        <family val="2"/>
      </rPr>
      <t>集中做遴选后端。</t>
    </r>
  </si>
  <si>
    <t>T6-01</t>
  </si>
  <si>
    <t>脚手架与生成器上手</t>
  </si>
  <si>
    <r>
      <rPr>
        <sz val="10"/>
        <rFont val="Noto Sans CJK SC"/>
        <family val="2"/>
      </rPr>
      <t>按成员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的样板完成一页“列表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新增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编辑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详情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权限”联调；约定自己负责门户、</t>
    </r>
    <r>
      <rPr>
        <sz val="10"/>
        <rFont val="Arial"/>
        <family val="2"/>
      </rPr>
      <t>CMS</t>
    </r>
    <r>
      <rPr>
        <sz val="10"/>
        <rFont val="Noto Sans CJK SC"/>
        <family val="2"/>
      </rPr>
      <t>、遴选与标准页整合</t>
    </r>
  </si>
  <si>
    <r>
      <rPr>
        <sz val="10"/>
        <rFont val="Noto Sans CJK SC"/>
        <family val="2"/>
      </rPr>
      <t>独立完成一个标准页并通过成员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检查</t>
    </r>
  </si>
  <si>
    <t>T6-02</t>
  </si>
  <si>
    <r>
      <rPr>
        <sz val="10"/>
        <rFont val="Noto Sans CJK SC"/>
        <family val="2"/>
      </rPr>
      <t>门户官网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套现成模板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</si>
  <si>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首页、新闻、政策、对阵、结果、精彩瞬间、最佳阵容、榜单、合作方、直播、公示查询；先接</t>
    </r>
    <r>
      <rPr>
        <sz val="10"/>
        <rFont val="Arial"/>
        <family val="2"/>
      </rPr>
      <t>Mock</t>
    </r>
    <r>
      <rPr>
        <sz val="10"/>
        <rFont val="Noto Sans CJK SC"/>
        <family val="2"/>
      </rPr>
      <t>，</t>
    </r>
    <r>
      <rPr>
        <sz val="10"/>
        <rFont val="Arial"/>
        <family val="2"/>
      </rPr>
      <t>D8</t>
    </r>
    <r>
      <rPr>
        <sz val="10"/>
        <rFont val="Noto Sans CJK SC"/>
        <family val="2"/>
      </rPr>
      <t>起逐页切真实接口；响应式兼顾手机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</si>
  <si>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公开接口</t>
    </r>
    <r>
      <rPr>
        <sz val="10"/>
        <rFont val="Arial"/>
        <family val="2"/>
      </rPr>
      <t>(D7)</t>
    </r>
    <r>
      <rPr>
        <sz val="10"/>
        <rFont val="Noto Sans CJK SC"/>
        <family val="2"/>
      </rPr>
      <t>；</t>
    </r>
    <r>
      <rPr>
        <sz val="10"/>
        <rFont val="Arial"/>
        <family val="2"/>
      </rPr>
      <t>D1</t>
    </r>
    <r>
      <rPr>
        <sz val="10"/>
        <rFont val="Noto Sans CJK SC"/>
        <family val="2"/>
      </rPr>
      <t>确认模板与视觉</t>
    </r>
  </si>
  <si>
    <t>首页首屏打开顺畅；手机可浏览；内容与后台发布一致</t>
  </si>
  <si>
    <t>5.1, 5.4, 5.5, 7.1, 7.2</t>
  </si>
  <si>
    <t>T6-03</t>
  </si>
  <si>
    <t>遴选评分</t>
  </si>
  <si>
    <r>
      <rPr>
        <sz val="10"/>
        <rFont val="Noto Sans CJK SC"/>
        <family val="2"/>
      </rPr>
      <t>评分模板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初选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复选用“轮次”参数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、评分录入与修改、汇总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固定加权公式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、导出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；按高校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中学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小学组生成最佳球员遴选结果并可追溯评分明细；规则以</t>
    </r>
    <r>
      <rPr>
        <sz val="10"/>
        <rFont val="Arial"/>
        <family val="2"/>
      </rPr>
      <t>D1</t>
    </r>
    <r>
      <rPr>
        <sz val="10"/>
        <rFont val="Noto Sans CJK SC"/>
        <family val="2"/>
      </rPr>
      <t>确认结果为准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</si>
  <si>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遴选档案聚合；</t>
    </r>
    <r>
      <rPr>
        <sz val="10"/>
        <rFont val="Arial"/>
        <family val="2"/>
      </rPr>
      <t>D1</t>
    </r>
    <r>
      <rPr>
        <sz val="10"/>
        <rFont val="Noto Sans CJK SC"/>
        <family val="2"/>
      </rPr>
      <t>确认评分规则</t>
    </r>
  </si>
  <si>
    <t>初选与复选互不覆盖；修改后汇总、结果、导出一致；三类结果可复算</t>
  </si>
  <si>
    <t>6.2</t>
  </si>
  <si>
    <t>T6-04</t>
  </si>
  <si>
    <t>公示</t>
  </si>
  <si>
    <r>
      <rPr>
        <sz val="10"/>
        <rFont val="Noto Sans CJK SC"/>
        <family val="2"/>
      </rPr>
      <t>运动员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教练员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球队报名信息公示与取消、按组别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市州查询；身份证脱敏；字段白名单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</si>
  <si>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公示字段白名单</t>
    </r>
  </si>
  <si>
    <t>取消公示后门户立即不可见；公示内容身份证脱敏</t>
  </si>
  <si>
    <t>7.3</t>
  </si>
  <si>
    <t>T6-05</t>
  </si>
  <si>
    <r>
      <rPr>
        <sz val="10"/>
        <rFont val="Arial"/>
        <family val="2"/>
      </rPr>
      <t>CMS</t>
    </r>
    <r>
      <rPr>
        <sz val="10"/>
        <rFont val="Noto Sans CJK SC"/>
        <family val="2"/>
      </rPr>
      <t>后台页、遴选页、公示管理页、其他简单页</t>
    </r>
  </si>
  <si>
    <r>
      <rPr>
        <sz val="10"/>
        <rFont val="Arial"/>
        <family val="2"/>
      </rPr>
      <t>CMS</t>
    </r>
    <r>
      <rPr>
        <sz val="10"/>
        <rFont val="Noto Sans CJK SC"/>
        <family val="2"/>
      </rPr>
      <t>后台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内容表单与富文本复用同一组件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、遴选评分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汇总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导出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结果页、公示管理页、人脸核验结果与人工复核页、政策问答悬浮窗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</si>
  <si>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5 CMS(D7)</t>
    </r>
    <r>
      <rPr>
        <sz val="10"/>
        <rFont val="Noto Sans CJK SC"/>
        <family val="2"/>
      </rPr>
      <t>；本人</t>
    </r>
    <r>
      <rPr>
        <sz val="10"/>
        <rFont val="Arial"/>
        <family val="2"/>
      </rPr>
      <t>T6-03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T6-04</t>
    </r>
    <r>
      <rPr>
        <sz val="10"/>
        <rFont val="Noto Sans CJK SC"/>
        <family val="2"/>
      </rPr>
      <t>；成员</t>
    </r>
    <r>
      <rPr>
        <sz val="10"/>
        <rFont val="Arial"/>
        <family val="2"/>
      </rPr>
      <t>2</t>
    </r>
  </si>
  <si>
    <t>内容后台与门户一致；评分汇总与导出和结果一致</t>
  </si>
  <si>
    <t>5.6, 6.1, 6.2, 7.1, 7.2, 7.3, 8.1</t>
  </si>
  <si>
    <t>T6-06</t>
  </si>
  <si>
    <t>各域生成器页整合</t>
  </si>
  <si>
    <r>
      <rPr>
        <sz val="10"/>
        <rFont val="Noto Sans CJK SC"/>
        <family val="2"/>
      </rPr>
      <t>各后端自出的标准页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约</t>
    </r>
    <r>
      <rPr>
        <sz val="10"/>
        <rFont val="Arial"/>
        <family val="2"/>
      </rPr>
      <t>25</t>
    </r>
    <r>
      <rPr>
        <sz val="10"/>
        <rFont val="Noto Sans CJK SC"/>
        <family val="2"/>
      </rPr>
      <t>个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统一菜单、权限点与样式；补做较复杂的列表与详情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</si>
  <si>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2/3/4/5</t>
    </r>
  </si>
  <si>
    <t>菜单与权限点无遗漏；样式统一</t>
  </si>
  <si>
    <t>0.2, 0.5, 0.6, 0.7, 1.1, 2.4, 3.x, 4.4, 5.3</t>
  </si>
  <si>
    <t>T6-07</t>
  </si>
  <si>
    <r>
      <rPr>
        <sz val="10"/>
        <rFont val="Noto Sans CJK SC"/>
        <family val="2"/>
      </rPr>
      <t>门户</t>
    </r>
    <r>
      <rPr>
        <sz val="10"/>
        <rFont val="Arial"/>
        <family val="2"/>
      </rPr>
      <t>·CMS·</t>
    </r>
    <r>
      <rPr>
        <sz val="10"/>
        <rFont val="Noto Sans CJK SC"/>
        <family val="2"/>
      </rPr>
      <t>遴选联调</t>
    </r>
  </si>
  <si>
    <r>
      <rPr>
        <sz val="10"/>
        <rFont val="Noto Sans CJK SC"/>
        <family val="2"/>
      </rPr>
      <t>切换真实接口、门户适配手机、遴选与</t>
    </r>
    <r>
      <rPr>
        <sz val="10"/>
        <rFont val="Arial"/>
        <family val="2"/>
      </rPr>
      <t>CMS</t>
    </r>
    <r>
      <rPr>
        <sz val="10"/>
        <rFont val="Noto Sans CJK SC"/>
        <family val="2"/>
      </rPr>
      <t>回归</t>
    </r>
  </si>
  <si>
    <t>本人负责页面无遗漏；遴选结果可复算</t>
  </si>
  <si>
    <r>
      <rPr>
        <b/>
        <sz val="14"/>
        <rFont val="Noto Sans CJK SC"/>
        <family val="2"/>
      </rPr>
      <t>优化后功能框架（共</t>
    </r>
    <r>
      <rPr>
        <b/>
        <sz val="14"/>
        <rFont val="Arial"/>
        <family val="2"/>
      </rPr>
      <t>33</t>
    </r>
    <r>
      <rPr>
        <b/>
        <sz val="14"/>
        <rFont val="Noto Sans CJK SC"/>
        <family val="2"/>
      </rPr>
      <t>个模块）</t>
    </r>
  </si>
  <si>
    <r>
      <rPr>
        <sz val="10"/>
        <color rgb="FF595959"/>
        <rFont val="Noto Sans CJK SC"/>
        <family val="2"/>
      </rPr>
      <t>黄色底色</t>
    </r>
    <r>
      <rPr>
        <sz val="10"/>
        <color rgb="FF595959"/>
        <rFont val="Arial"/>
        <family val="2"/>
      </rPr>
      <t>=</t>
    </r>
    <r>
      <rPr>
        <sz val="10"/>
        <color rgb="FF595959"/>
        <rFont val="Noto Sans CJK SC"/>
        <family val="2"/>
      </rPr>
      <t>原表没有、本次新增的能力；其余为原</t>
    </r>
    <r>
      <rPr>
        <sz val="10"/>
        <color rgb="FF595959"/>
        <rFont val="Arial"/>
        <family val="2"/>
      </rPr>
      <t>244</t>
    </r>
    <r>
      <rPr>
        <sz val="10"/>
        <color rgb="FF595959"/>
        <rFont val="Noto Sans CJK SC"/>
        <family val="2"/>
      </rPr>
      <t>条功能合并重组后的模块。负责人、深度、优先级改这里，“原</t>
    </r>
    <r>
      <rPr>
        <sz val="10"/>
        <color rgb="FF595959"/>
        <rFont val="Arial"/>
        <family val="2"/>
      </rPr>
      <t>244</t>
    </r>
    <r>
      <rPr>
        <sz val="10"/>
        <color rgb="FF595959"/>
        <rFont val="Noto Sans CJK SC"/>
        <family val="2"/>
      </rPr>
      <t>功能核对”自动跟随</t>
    </r>
  </si>
  <si>
    <t>编号</t>
  </si>
  <si>
    <t>一级模块</t>
  </si>
  <si>
    <t>二级模块</t>
  </si>
  <si>
    <t>合并后功能点</t>
  </si>
  <si>
    <t>涉及角色</t>
  </si>
  <si>
    <t>后端负责人</t>
  </si>
  <si>
    <t>前端负责人</t>
  </si>
  <si>
    <t>前端方式</t>
  </si>
  <si>
    <t>完成度</t>
  </si>
  <si>
    <t>后端任务</t>
  </si>
  <si>
    <t>前端任务</t>
  </si>
  <si>
    <t>后端完成日</t>
  </si>
  <si>
    <t>原功能点数</t>
  </si>
  <si>
    <r>
      <rPr>
        <b/>
        <sz val="10"/>
        <color rgb="FFFFFFFF"/>
        <rFont val="Noto Sans CJK SC"/>
        <family val="2"/>
      </rPr>
      <t>对</t>
    </r>
    <r>
      <rPr>
        <b/>
        <sz val="10"/>
        <color rgb="FFFFFFFF"/>
        <rFont val="Arial"/>
        <family val="2"/>
      </rPr>
      <t>V1/V2</t>
    </r>
    <r>
      <rPr>
        <b/>
        <sz val="10"/>
        <color rgb="FFFFFFFF"/>
        <rFont val="Noto Sans CJK SC"/>
        <family val="2"/>
      </rPr>
      <t>的调整说明</t>
    </r>
  </si>
  <si>
    <t>平台底座</t>
  </si>
  <si>
    <t>统一认证与权限</t>
  </si>
  <si>
    <r>
      <rPr>
        <sz val="10"/>
        <rFont val="Noto Sans CJK SC"/>
        <family val="2"/>
      </rPr>
      <t>登录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退出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改密；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类登录角色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球队、高校、市州、省级审核、运动员、教练员、管理员、赛事录入员</t>
    </r>
    <r>
      <rPr>
        <sz val="10"/>
        <rFont val="Arial"/>
        <family val="2"/>
      </rPr>
      <t>)+</t>
    </r>
    <r>
      <rPr>
        <sz val="10"/>
        <rFont val="Noto Sans CJK SC"/>
        <family val="2"/>
      </rPr>
      <t>公众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门户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；菜单与按钮权限；数据权限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市州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球队行级隔离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；账号停用与密码哈希</t>
    </r>
  </si>
  <si>
    <t>全部</t>
  </si>
  <si>
    <r>
      <rPr>
        <sz val="10"/>
        <color rgb="FF0000FF"/>
        <rFont val="Noto Sans CJK SC"/>
        <family val="2"/>
      </rPr>
      <t>成员</t>
    </r>
    <r>
      <rPr>
        <sz val="10"/>
        <color rgb="FF0000FF"/>
        <rFont val="Arial"/>
        <family val="2"/>
      </rPr>
      <t>2</t>
    </r>
  </si>
  <si>
    <r>
      <rPr>
        <sz val="10"/>
        <color rgb="FF0000FF"/>
        <rFont val="Noto Sans CJK SC"/>
        <family val="2"/>
      </rPr>
      <t>成员</t>
    </r>
    <r>
      <rPr>
        <sz val="10"/>
        <color rgb="FF0000FF"/>
        <rFont val="Arial"/>
        <family val="2"/>
      </rPr>
      <t>1</t>
    </r>
  </si>
  <si>
    <t>套脚手架</t>
  </si>
  <si>
    <r>
      <rPr>
        <sz val="10"/>
        <rFont val="Noto Sans CJK SC"/>
        <family val="2"/>
      </rPr>
      <t>原表没有统一认证与数据权限，是最大遗漏；评委不单设角色，遴选由管理员端完成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与原表一致</t>
    </r>
    <r>
      <rPr>
        <sz val="10"/>
        <rFont val="Arial"/>
        <family val="2"/>
      </rPr>
      <t>)</t>
    </r>
  </si>
  <si>
    <t>组织与基础字典</t>
  </si>
  <si>
    <r>
      <rPr>
        <sz val="10"/>
        <rFont val="Noto Sans CJK SC"/>
        <family val="2"/>
      </rPr>
      <t>市州、学校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高校、组别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小学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中学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、赛事类别、审核状态、材料类型字典，后台可维护</t>
    </r>
  </si>
  <si>
    <t>管理员</t>
  </si>
  <si>
    <t>生成器标准页</t>
  </si>
  <si>
    <r>
      <rPr>
        <sz val="10"/>
        <rFont val="Noto Sans CJK SC"/>
        <family val="2"/>
      </rPr>
      <t>原表多处“按市州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按组别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按审核状态”，统一为字典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通用查询；初始数据由成员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的建库脚本提供</t>
    </r>
  </si>
  <si>
    <t>0.3</t>
  </si>
  <si>
    <r>
      <rPr>
        <b/>
        <sz val="10"/>
        <rFont val="Noto Sans CJK SC"/>
        <family val="2"/>
      </rPr>
      <t>审核状态流转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精简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</si>
  <si>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状态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草稿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待审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通过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驳回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撤回</t>
    </r>
    <r>
      <rPr>
        <sz val="10"/>
        <rFont val="Arial"/>
        <family val="2"/>
      </rPr>
      <t>)+</t>
    </r>
    <r>
      <rPr>
        <sz val="10"/>
        <rFont val="Noto Sans CJK SC"/>
        <family val="2"/>
      </rPr>
      <t>审核记录表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驳回原因，由</t>
    </r>
    <r>
      <rPr>
        <sz val="10"/>
        <rFont val="Arial"/>
        <family val="2"/>
      </rPr>
      <t>4.2</t>
    </r>
    <r>
      <rPr>
        <sz val="10"/>
        <rFont val="Noto Sans CJK SC"/>
        <family val="2"/>
      </rPr>
      <t>实现，履历材料复用</t>
    </r>
  </si>
  <si>
    <r>
      <rPr>
        <sz val="10"/>
        <rFont val="Noto Sans CJK SC"/>
        <family val="2"/>
      </rPr>
      <t>市州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省级审核</t>
    </r>
  </si>
  <si>
    <r>
      <rPr>
        <sz val="10"/>
        <color rgb="FF0000FF"/>
        <rFont val="Noto Sans CJK SC"/>
        <family val="2"/>
      </rPr>
      <t>成员</t>
    </r>
    <r>
      <rPr>
        <sz val="10"/>
        <color rgb="FF0000FF"/>
        <rFont val="Arial"/>
        <family val="2"/>
      </rPr>
      <t>3</t>
    </r>
  </si>
  <si>
    <r>
      <rPr>
        <sz val="10"/>
        <rFont val="Noto Sans CJK SC"/>
        <family val="2"/>
      </rPr>
      <t>通用组件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审核抽屉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</si>
  <si>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V1</t>
    </r>
    <r>
      <rPr>
        <sz val="10"/>
        <rFont val="Noto Sans CJK SC"/>
        <family val="2"/>
      </rPr>
      <t>做成通用审核工作流引擎</t>
    </r>
    <r>
      <rPr>
        <sz val="10"/>
        <rFont val="Arial"/>
        <family val="2"/>
      </rPr>
      <t>(10</t>
    </r>
    <r>
      <rPr>
        <sz val="10"/>
        <rFont val="Noto Sans CJK SC"/>
        <family val="2"/>
      </rPr>
      <t>人天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天内降为“状态字段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记录表”，不做流程可视化配置</t>
    </r>
  </si>
  <si>
    <r>
      <rPr>
        <sz val="10"/>
        <rFont val="Noto Sans CJK SC"/>
        <family val="2"/>
      </rPr>
      <t>单个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批量上传、类型与大小校验、缩略图、受控下载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私有材料授权访问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</si>
  <si>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通用组件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上传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</si>
  <si>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原表</t>
    </r>
    <r>
      <rPr>
        <sz val="10"/>
        <rFont val="Arial"/>
        <family val="2"/>
      </rPr>
      <t>20</t>
    </r>
    <r>
      <rPr>
        <sz val="10"/>
        <rFont val="Noto Sans CJK SC"/>
        <family val="2"/>
      </rPr>
      <t>多处“上传</t>
    </r>
    <r>
      <rPr>
        <sz val="10"/>
        <rFont val="Arial"/>
        <family val="2"/>
      </rPr>
      <t>XX”</t>
    </r>
    <r>
      <rPr>
        <sz val="10"/>
        <rFont val="Noto Sans CJK SC"/>
        <family val="2"/>
      </rPr>
      <t>全部复用此服务</t>
    </r>
  </si>
  <si>
    <t>0.5</t>
  </si>
  <si>
    <t>消息通知</t>
  </si>
  <si>
    <t>站内信：审核结果、驳回通知、已读未读</t>
  </si>
  <si>
    <t>球队等</t>
  </si>
  <si>
    <t>不做短信与实时推送，打开页面时拉取</t>
  </si>
  <si>
    <t>0.6</t>
  </si>
  <si>
    <t>日志审计</t>
  </si>
  <si>
    <r>
      <rPr>
        <sz val="10"/>
        <rFont val="Noto Sans CJK SC"/>
        <family val="2"/>
      </rPr>
      <t>操作日志</t>
    </r>
    <r>
      <rPr>
        <sz val="10"/>
        <rFont val="Arial"/>
        <family val="2"/>
      </rPr>
      <t>(AOP)</t>
    </r>
    <r>
      <rPr>
        <sz val="10"/>
        <rFont val="Noto Sans CJK SC"/>
        <family val="2"/>
      </rPr>
      <t>、登录日志、报名日志，查询</t>
    </r>
  </si>
  <si>
    <r>
      <rPr>
        <sz val="10"/>
        <rFont val="Noto Sans CJK SC"/>
        <family val="2"/>
      </rPr>
      <t>管理员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省级</t>
    </r>
  </si>
  <si>
    <t>原“报名日志”与“日志管理”合并为一套</t>
  </si>
  <si>
    <t>0.7</t>
  </si>
  <si>
    <t>账号管理</t>
  </si>
  <si>
    <r>
      <rPr>
        <sz val="10"/>
        <rFont val="Noto Sans CJK SC"/>
        <family val="2"/>
      </rPr>
      <t>报名账号查询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删除；球队、球员、教练员账号密码重置与启停</t>
    </r>
  </si>
  <si>
    <t>原表三个端分别出现“重置密码”，统一收口；与认证放在同一人手里减少对接</t>
  </si>
  <si>
    <r>
      <rPr>
        <b/>
        <sz val="10"/>
        <rFont val="Noto Sans CJK SC"/>
        <family val="2"/>
      </rPr>
      <t>安全合规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最小集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</si>
  <si>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身份证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手机号加密存储与脱敏展示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列表、日志、公示、导出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；文件私有访问；</t>
    </r>
    <r>
      <rPr>
        <sz val="10"/>
        <rFont val="Arial"/>
        <family val="2"/>
      </rPr>
      <t>HTTPS</t>
    </r>
  </si>
  <si>
    <r>
      <rPr>
        <sz val="10"/>
        <rFont val="Noto Sans CJK SC"/>
        <family val="2"/>
      </rPr>
      <t>涉及大量未成年人信息，必须补；加解密工具类</t>
    </r>
    <r>
      <rPr>
        <sz val="10"/>
        <rFont val="Arial"/>
        <family val="2"/>
      </rPr>
      <t>D1</t>
    </r>
    <r>
      <rPr>
        <sz val="10"/>
        <rFont val="Noto Sans CJK SC"/>
        <family val="2"/>
      </rPr>
      <t>随脚手架交付，</t>
    </r>
    <r>
      <rPr>
        <sz val="10"/>
        <rFont val="Arial"/>
        <family val="2"/>
      </rPr>
      <t>D8</t>
    </r>
    <r>
      <rPr>
        <sz val="10"/>
        <rFont val="Noto Sans CJK SC"/>
        <family val="2"/>
      </rPr>
      <t>做全面复核；压测、等保、漏洞扫描放二期</t>
    </r>
  </si>
  <si>
    <t>赛事创建、届次、组别与名额、报名窗口与截止、资格规则参数、赛程阶段</t>
  </si>
  <si>
    <t>省级管理员</t>
  </si>
  <si>
    <r>
      <rPr>
        <sz val="10"/>
        <color rgb="FF0000FF"/>
        <rFont val="Noto Sans CJK SC"/>
        <family val="2"/>
      </rPr>
      <t>成员</t>
    </r>
    <r>
      <rPr>
        <sz val="10"/>
        <color rgb="FF0000FF"/>
        <rFont val="Arial"/>
        <family val="2"/>
      </rPr>
      <t>5</t>
    </r>
  </si>
  <si>
    <t>原表多处“赛事列表信息”，却没有创建赛事的来源功能；先交只读接口给报名</t>
  </si>
  <si>
    <t>2.1</t>
  </si>
  <si>
    <t>人员档案中心</t>
  </si>
  <si>
    <t>运动员档案</t>
  </si>
  <si>
    <t>注册、信息完善与确认、身份证唯一键去重与数据匹配、所属队伍</t>
  </si>
  <si>
    <t>运动员</t>
  </si>
  <si>
    <r>
      <rPr>
        <sz val="10"/>
        <color rgb="FF0000FF"/>
        <rFont val="Noto Sans CJK SC"/>
        <family val="2"/>
      </rPr>
      <t>成员</t>
    </r>
    <r>
      <rPr>
        <sz val="10"/>
        <color rgb="FF0000FF"/>
        <rFont val="Arial"/>
        <family val="2"/>
      </rPr>
      <t>4</t>
    </r>
  </si>
  <si>
    <t>手写复杂页</t>
  </si>
  <si>
    <r>
      <rPr>
        <sz val="10"/>
        <rFont val="Noto Sans CJK SC"/>
        <family val="2"/>
      </rPr>
      <t>原表运动员端与球队端各维护一份球员信息，改为唯一档案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报名快照</t>
    </r>
  </si>
  <si>
    <t>2.2</t>
  </si>
  <si>
    <r>
      <rPr>
        <b/>
        <sz val="10"/>
        <rFont val="Noto Sans CJK SC"/>
        <family val="2"/>
      </rPr>
      <t>履历材料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通用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</si>
  <si>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材料类型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附件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审核状态，覆盖运动员与教练员约</t>
    </r>
    <r>
      <rPr>
        <sz val="10"/>
        <rFont val="Arial"/>
        <family val="2"/>
      </rPr>
      <t>19</t>
    </r>
    <r>
      <rPr>
        <sz val="10"/>
        <rFont val="Noto Sans CJK SC"/>
        <family val="2"/>
      </rPr>
      <t>类</t>
    </r>
  </si>
  <si>
    <r>
      <rPr>
        <sz val="10"/>
        <rFont val="Noto Sans CJK SC"/>
        <family val="2"/>
      </rPr>
      <t>运动员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教练员</t>
    </r>
  </si>
  <si>
    <r>
      <rPr>
        <sz val="10"/>
        <rFont val="Noto Sans CJK SC"/>
        <family val="2"/>
      </rPr>
      <t>手写复杂页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通用表单组件</t>
    </r>
    <r>
      <rPr>
        <sz val="10"/>
        <rFont val="Arial"/>
        <family val="2"/>
      </rPr>
      <t>)</t>
    </r>
  </si>
  <si>
    <t>T1-03, T1-02</t>
  </si>
  <si>
    <r>
      <rPr>
        <sz val="10"/>
        <rFont val="Noto Sans CJK SC"/>
        <family val="2"/>
      </rPr>
      <t>约</t>
    </r>
    <r>
      <rPr>
        <sz val="10"/>
        <rFont val="Arial"/>
        <family val="2"/>
      </rPr>
      <t>19</t>
    </r>
    <r>
      <rPr>
        <sz val="10"/>
        <rFont val="Noto Sans CJK SC"/>
        <family val="2"/>
      </rPr>
      <t>个“上传</t>
    </r>
    <r>
      <rPr>
        <sz val="10"/>
        <rFont val="Arial"/>
        <family val="2"/>
      </rPr>
      <t>XX”</t>
    </r>
    <r>
      <rPr>
        <sz val="10"/>
        <rFont val="Noto Sans CJK SC"/>
        <family val="2"/>
      </rPr>
      <t>同构，做一套引擎，类型靠配置</t>
    </r>
  </si>
  <si>
    <t>2.3</t>
  </si>
  <si>
    <t>教练员档案</t>
  </si>
  <si>
    <t>注册、个人中心、信息完善与修改</t>
  </si>
  <si>
    <t>教练员</t>
  </si>
  <si>
    <t>与运动员共用人员主档</t>
  </si>
  <si>
    <t>2.4</t>
  </si>
  <si>
    <t>管理员人员管理</t>
  </si>
  <si>
    <r>
      <rPr>
        <sz val="10"/>
        <rFont val="Noto Sans CJK SC"/>
        <family val="2"/>
      </rPr>
      <t>球员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教练员搜索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姓名、身份证、类别、审核状态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、修改、删除、增加、上传头像</t>
    </r>
  </si>
  <si>
    <r>
      <rPr>
        <sz val="10"/>
        <rFont val="Noto Sans CJK SC"/>
        <family val="2"/>
      </rPr>
      <t>管理员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省级审核</t>
    </r>
  </si>
  <si>
    <t>省级审核端教练员搜索出现两次，已合并为一处接口，两处菜单入口</t>
  </si>
  <si>
    <t>3.1</t>
  </si>
  <si>
    <t>球队档案</t>
  </si>
  <si>
    <r>
      <rPr>
        <sz val="10"/>
        <rFont val="Noto Sans CJK SC"/>
        <family val="2"/>
      </rPr>
      <t>球队创建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查询、队旗队徽、简介、合照、球队中心</t>
    </r>
  </si>
  <si>
    <t>球队</t>
  </si>
  <si>
    <t>“创建球队”是报名的前置，要最先可用</t>
  </si>
  <si>
    <t>3.2</t>
  </si>
  <si>
    <t>球队成员与履历</t>
  </si>
  <si>
    <r>
      <rPr>
        <sz val="10"/>
        <rFont val="Noto Sans CJK SC"/>
        <family val="2"/>
      </rPr>
      <t>成员上传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搜索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照片；训练计划、荣誉证书、参赛与对阵记录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复用履历引擎</t>
    </r>
    <r>
      <rPr>
        <sz val="10"/>
        <rFont val="Arial"/>
        <family val="2"/>
      </rPr>
      <t>)</t>
    </r>
  </si>
  <si>
    <t>T4-03, T4-04</t>
  </si>
  <si>
    <t>原表“球队成员县信息”为笔误；成员关联唯一人员档案，不重复存身份信息</t>
  </si>
  <si>
    <t>3.3</t>
  </si>
  <si>
    <t>球队教练员关联</t>
  </si>
  <si>
    <r>
      <rPr>
        <sz val="10"/>
        <rFont val="Noto Sans CJK SC"/>
        <family val="2"/>
      </rPr>
      <t>添加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查询球队教练员，按类别与审核状态筛选</t>
    </r>
  </si>
  <si>
    <t>3.4</t>
  </si>
  <si>
    <t>管理员参赛查看</t>
  </si>
  <si>
    <r>
      <rPr>
        <sz val="10"/>
        <rFont val="Noto Sans CJK SC"/>
        <family val="2"/>
      </rPr>
      <t>按市州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赛事类别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球队名称查看球队、成员、教练员、比赛记录</t>
    </r>
  </si>
  <si>
    <t>只读聚合，复用球队与比赛接口</t>
  </si>
  <si>
    <t>赛事报名与审核</t>
  </si>
  <si>
    <r>
      <rPr>
        <sz val="10"/>
        <rFont val="Noto Sans CJK SC"/>
        <family val="2"/>
      </rPr>
      <t>同一套“报名表单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球员报送”服务三类主体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中小学球队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市州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；</t>
    </r>
    <r>
      <rPr>
        <sz val="10"/>
        <rFont val="Arial"/>
        <family val="2"/>
      </rPr>
      <t>Excel</t>
    </r>
    <r>
      <rPr>
        <sz val="10"/>
        <rFont val="Noto Sans CJK SC"/>
        <family val="2"/>
      </rPr>
      <t>批量导入；照片</t>
    </r>
    <r>
      <rPr>
        <sz val="10"/>
        <rFont val="Arial"/>
        <family val="2"/>
      </rPr>
      <t>ZIP</t>
    </r>
    <r>
      <rPr>
        <sz val="10"/>
        <rFont val="Noto Sans CJK SC"/>
        <family val="2"/>
      </rPr>
      <t>匹配；搜索、修改、删除；提交冻结快照</t>
    </r>
  </si>
  <si>
    <r>
      <rPr>
        <sz val="10"/>
        <rFont val="Noto Sans CJK SC"/>
        <family val="2"/>
      </rPr>
      <t>球队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市州</t>
    </r>
  </si>
  <si>
    <t>T3-02, T3-04</t>
  </si>
  <si>
    <r>
      <rPr>
        <sz val="10"/>
        <rFont val="Noto Sans CJK SC"/>
        <family val="2"/>
      </rPr>
      <t>原表三个端重复约</t>
    </r>
    <r>
      <rPr>
        <sz val="10"/>
        <rFont val="Arial"/>
        <family val="2"/>
      </rPr>
      <t>34</t>
    </r>
    <r>
      <rPr>
        <sz val="10"/>
        <rFont val="Noto Sans CJK SC"/>
        <family val="2"/>
      </rPr>
      <t>个功能点，合并为一套引擎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主体类型字段；不做动态表单设计器</t>
    </r>
  </si>
  <si>
    <t>4.2</t>
  </si>
  <si>
    <t>多级审核</t>
  </si>
  <si>
    <t>市州审核学校报名、省级审核全部报名；驳回原因、重新提交、审核结果查看；材料齐全性规则预审</t>
  </si>
  <si>
    <r>
      <rPr>
        <sz val="10"/>
        <rFont val="Noto Sans CJK SC"/>
        <family val="2"/>
      </rPr>
      <t>市州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省级</t>
    </r>
  </si>
  <si>
    <r>
      <rPr>
        <sz val="10"/>
        <rFont val="Noto Sans CJK SC"/>
        <family val="2"/>
      </rPr>
      <t>基于</t>
    </r>
    <r>
      <rPr>
        <sz val="10"/>
        <rFont val="Arial"/>
        <family val="2"/>
      </rPr>
      <t>0.3</t>
    </r>
    <r>
      <rPr>
        <sz val="10"/>
        <rFont val="Noto Sans CJK SC"/>
        <family val="2"/>
      </rPr>
      <t>实现，不再各端自写；预审用规则校验，不用大模型</t>
    </r>
  </si>
  <si>
    <t>报名材料与文档</t>
  </si>
  <si>
    <r>
      <rPr>
        <sz val="10"/>
        <rFont val="Noto Sans CJK SC"/>
        <family val="2"/>
      </rPr>
      <t>报名表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、球员信息表</t>
    </r>
    <r>
      <rPr>
        <sz val="10"/>
        <rFont val="Arial"/>
        <family val="2"/>
      </rPr>
      <t>Word</t>
    </r>
    <r>
      <rPr>
        <sz val="10"/>
        <rFont val="Noto Sans CJK SC"/>
        <family val="2"/>
      </rPr>
      <t>、盖章扫描件、学籍验证材料上传下载</t>
    </r>
  </si>
  <si>
    <r>
      <rPr>
        <sz val="10"/>
        <rFont val="Noto Sans CJK SC"/>
        <family val="2"/>
      </rPr>
      <t>球队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市州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省级</t>
    </r>
  </si>
  <si>
    <r>
      <rPr>
        <sz val="10"/>
        <rFont val="Noto Sans CJK SC"/>
        <family val="2"/>
      </rPr>
      <t>手写复杂页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含于报名页与审核台</t>
    </r>
    <r>
      <rPr>
        <sz val="10"/>
        <rFont val="Arial"/>
        <family val="2"/>
      </rPr>
      <t>)</t>
    </r>
  </si>
  <si>
    <t>T1-04, T1-05</t>
  </si>
  <si>
    <r>
      <rPr>
        <sz val="10"/>
        <rFont val="Arial"/>
        <family val="2"/>
      </rPr>
      <t>PDF</t>
    </r>
    <r>
      <rPr>
        <sz val="10"/>
        <rFont val="Noto Sans CJK SC"/>
        <family val="2"/>
      </rPr>
      <t>与</t>
    </r>
    <r>
      <rPr>
        <sz val="10"/>
        <rFont val="Arial"/>
        <family val="2"/>
      </rPr>
      <t>Word</t>
    </r>
    <r>
      <rPr>
        <sz val="10"/>
        <rFont val="Noto Sans CJK SC"/>
        <family val="2"/>
      </rPr>
      <t>由成员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自己做模板，减少跨人依赖</t>
    </r>
  </si>
  <si>
    <r>
      <rPr>
        <sz val="10"/>
        <rFont val="Noto Sans CJK SC"/>
        <family val="2"/>
      </rPr>
      <t>市州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高校报名情况统计、全市汇总、赛事报名情况导出</t>
    </r>
  </si>
  <si>
    <t>赛事运行</t>
  </si>
  <si>
    <r>
      <rPr>
        <sz val="10"/>
        <rFont val="Noto Sans CJK SC"/>
        <family val="2"/>
      </rPr>
      <t>对阵创建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查询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按状态、按球队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、发布上线</t>
    </r>
  </si>
  <si>
    <r>
      <rPr>
        <sz val="10"/>
        <rFont val="Noto Sans CJK SC"/>
        <family val="2"/>
      </rPr>
      <t>赛事录入员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管理员</t>
    </r>
  </si>
  <si>
    <r>
      <rPr>
        <sz val="10"/>
        <rFont val="Noto Sans CJK SC"/>
        <family val="2"/>
      </rPr>
      <t>手写复杂页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录入端</t>
    </r>
    <r>
      <rPr>
        <sz val="10"/>
        <rFont val="Arial"/>
        <family val="2"/>
      </rPr>
      <t>)</t>
    </r>
  </si>
  <si>
    <t>T1-06, T6-02</t>
  </si>
  <si>
    <r>
      <rPr>
        <sz val="10"/>
        <rFont val="Noto Sans CJK SC"/>
        <family val="2"/>
      </rPr>
      <t>原表对阵在“直播录入”和“门户发布”各有一套，改为单一数据源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发布状态</t>
    </r>
  </si>
  <si>
    <r>
      <rPr>
        <sz val="10"/>
        <rFont val="Noto Sans CJK SC"/>
        <family val="2"/>
      </rPr>
      <t>裁判员、对阵双方、进球、判罚的录入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查看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事件流模型</t>
    </r>
    <r>
      <rPr>
        <sz val="10"/>
        <rFont val="Arial"/>
        <family val="2"/>
      </rPr>
      <t>)</t>
    </r>
  </si>
  <si>
    <t>赛事录入员</t>
  </si>
  <si>
    <r>
      <rPr>
        <sz val="10"/>
        <rFont val="Noto Sans CJK SC"/>
        <family val="2"/>
      </rPr>
      <t>原表约</t>
    </r>
    <r>
      <rPr>
        <sz val="10"/>
        <rFont val="Arial"/>
        <family val="2"/>
      </rPr>
      <t>12</t>
    </r>
    <r>
      <rPr>
        <sz val="10"/>
        <rFont val="Noto Sans CJK SC"/>
        <family val="2"/>
      </rPr>
      <t>个增删改查，抽为“比赛事件”一张表，按类型区分</t>
    </r>
  </si>
  <si>
    <t>5.3</t>
  </si>
  <si>
    <t>赛事文件</t>
  </si>
  <si>
    <t>签到表、记录集签字确认表、裁判员报告书上传</t>
  </si>
  <si>
    <t>5.4</t>
  </si>
  <si>
    <t>赛事直播</t>
  </si>
  <si>
    <t>图文直播、直播链接管理</t>
  </si>
  <si>
    <r>
      <rPr>
        <sz val="10"/>
        <rFont val="Noto Sans CJK SC"/>
        <family val="2"/>
      </rPr>
      <t>赛事录入员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公众</t>
    </r>
  </si>
  <si>
    <r>
      <rPr>
        <sz val="10"/>
        <rFont val="Noto Sans CJK SC"/>
        <family val="2"/>
      </rPr>
      <t>手写复杂页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录入端发布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</si>
  <si>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短轮询刷新，不做</t>
    </r>
    <r>
      <rPr>
        <sz val="10"/>
        <rFont val="Arial"/>
        <family val="2"/>
      </rPr>
      <t>WebSocket</t>
    </r>
  </si>
  <si>
    <r>
      <rPr>
        <sz val="10"/>
        <rFont val="Noto Sans CJK SC"/>
        <family val="2"/>
      </rPr>
      <t>赛果发布、进球榜、高校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中学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小学组进球统计</t>
    </r>
  </si>
  <si>
    <r>
      <rPr>
        <sz val="10"/>
        <rFont val="Noto Sans CJK SC"/>
        <family val="2"/>
      </rPr>
      <t>公众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管理员</t>
    </r>
  </si>
  <si>
    <r>
      <rPr>
        <sz val="10"/>
        <color rgb="FF0000FF"/>
        <rFont val="Noto Sans CJK SC"/>
        <family val="2"/>
      </rPr>
      <t>成员</t>
    </r>
    <r>
      <rPr>
        <sz val="10"/>
        <color rgb="FF0000FF"/>
        <rFont val="Arial"/>
        <family val="2"/>
      </rPr>
      <t>6</t>
    </r>
  </si>
  <si>
    <r>
      <rPr>
        <sz val="10"/>
        <rFont val="Noto Sans CJK SC"/>
        <family val="2"/>
      </rPr>
      <t>套现成模板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门户</t>
    </r>
    <r>
      <rPr>
        <sz val="10"/>
        <rFont val="Arial"/>
        <family val="2"/>
      </rPr>
      <t>)</t>
    </r>
  </si>
  <si>
    <t>三个组别统计合并为“按组别参数”的一个统计，由赛况自动派生</t>
  </si>
  <si>
    <r>
      <rPr>
        <b/>
        <sz val="10"/>
        <rFont val="Noto Sans CJK SC"/>
        <family val="2"/>
      </rPr>
      <t>现场身份核验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人脸</t>
    </r>
    <r>
      <rPr>
        <b/>
        <sz val="10"/>
        <rFont val="Arial"/>
        <family val="2"/>
      </rPr>
      <t>)</t>
    </r>
  </si>
  <si>
    <t>球员人脸核验识别、核验记录</t>
  </si>
  <si>
    <r>
      <rPr>
        <sz val="10"/>
        <rFont val="Noto Sans CJK SC"/>
        <family val="2"/>
      </rPr>
      <t>未接通第三方时降级为“现场拍照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人工确认”；是否必须接第三方在</t>
    </r>
    <r>
      <rPr>
        <sz val="10"/>
        <rFont val="Arial"/>
        <family val="2"/>
      </rPr>
      <t>D1</t>
    </r>
    <r>
      <rPr>
        <sz val="10"/>
        <rFont val="Noto Sans CJK SC"/>
        <family val="2"/>
      </rPr>
      <t>确认</t>
    </r>
  </si>
  <si>
    <t>6.1</t>
  </si>
  <si>
    <t>遴选档案聚合</t>
  </si>
  <si>
    <r>
      <rPr>
        <sz val="10"/>
        <rFont val="Noto Sans CJK SC"/>
        <family val="2"/>
      </rPr>
      <t>球员遴选档案、按身份证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按队伍搜索</t>
    </r>
  </si>
  <si>
    <r>
      <rPr>
        <sz val="10"/>
        <rFont val="Noto Sans CJK SC"/>
        <family val="2"/>
      </rPr>
      <t>从</t>
    </r>
    <r>
      <rPr>
        <sz val="10"/>
        <rFont val="Arial"/>
        <family val="2"/>
      </rPr>
      <t>V1</t>
    </r>
    <r>
      <rPr>
        <sz val="10"/>
        <rFont val="Noto Sans CJK SC"/>
        <family val="2"/>
      </rPr>
      <t>的“遴选评分”中拆出，档案数据归成员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，评分归成员</t>
    </r>
    <r>
      <rPr>
        <sz val="10"/>
        <rFont val="Arial"/>
        <family val="2"/>
      </rPr>
      <t>6</t>
    </r>
  </si>
  <si>
    <t>遴选评分与结果</t>
  </si>
  <si>
    <r>
      <rPr>
        <sz val="10"/>
        <rFont val="Noto Sans CJK SC"/>
        <family val="2"/>
      </rPr>
      <t>初选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复选评分、修改、汇总、导出；按高校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中学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小学组生成最佳球员结果</t>
    </r>
  </si>
  <si>
    <r>
      <rPr>
        <sz val="10"/>
        <rFont val="Noto Sans CJK SC"/>
        <family val="2"/>
      </rPr>
      <t>手写页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复用标准组件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</si>
  <si>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初选与复选合并为“轮次”参数；规则</t>
    </r>
    <r>
      <rPr>
        <sz val="10"/>
        <rFont val="Arial"/>
        <family val="2"/>
      </rPr>
      <t>D1</t>
    </r>
    <r>
      <rPr>
        <sz val="10"/>
        <rFont val="Noto Sans CJK SC"/>
        <family val="2"/>
      </rPr>
      <t>确认；评分页交成员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，减轻组长</t>
    </r>
  </si>
  <si>
    <t>7.1</t>
  </si>
  <si>
    <t>门户与内容</t>
  </si>
  <si>
    <r>
      <rPr>
        <b/>
        <sz val="10"/>
        <rFont val="Noto Sans CJK SC"/>
        <family val="2"/>
      </rPr>
      <t>内容管理引擎</t>
    </r>
    <r>
      <rPr>
        <b/>
        <sz val="10"/>
        <rFont val="Arial"/>
        <family val="2"/>
      </rPr>
      <t>(CMS)</t>
    </r>
  </si>
  <si>
    <r>
      <rPr>
        <sz val="10"/>
        <rFont val="Noto Sans CJK SC"/>
        <family val="2"/>
      </rPr>
      <t>新闻、政策、精彩瞬间、最佳阵容统一为“内容类型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发布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修改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删除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查看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上下线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置顶”</t>
    </r>
  </si>
  <si>
    <r>
      <rPr>
        <sz val="10"/>
        <rFont val="Noto Sans CJK SC"/>
        <family val="2"/>
      </rPr>
      <t>管理员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公众</t>
    </r>
  </si>
  <si>
    <r>
      <rPr>
        <sz val="10"/>
        <rFont val="Noto Sans CJK SC"/>
        <family val="2"/>
      </rPr>
      <t>套现成模板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表单</t>
    </r>
  </si>
  <si>
    <t>T6-02, T6-05</t>
  </si>
  <si>
    <r>
      <rPr>
        <sz val="10"/>
        <rFont val="Noto Sans CJK SC"/>
        <family val="2"/>
      </rPr>
      <t>原表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类内容约</t>
    </r>
    <r>
      <rPr>
        <sz val="10"/>
        <rFont val="Arial"/>
        <family val="2"/>
      </rPr>
      <t>21</t>
    </r>
    <r>
      <rPr>
        <sz val="10"/>
        <rFont val="Noto Sans CJK SC"/>
        <family val="2"/>
      </rPr>
      <t>个功能点同构，做一个内容引擎</t>
    </r>
  </si>
  <si>
    <t>7.2</t>
  </si>
  <si>
    <t>门户展示资源</t>
  </si>
  <si>
    <t>轮播图、新闻跳转链接图、合作方官网链接与图片</t>
  </si>
  <si>
    <t>套现成模板</t>
  </si>
  <si>
    <r>
      <rPr>
        <sz val="10"/>
        <rFont val="Noto Sans CJK SC"/>
        <family val="2"/>
      </rPr>
      <t>运动员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教练员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球队报名信息公示与取消、按组别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市州查看</t>
    </r>
  </si>
  <si>
    <r>
      <rPr>
        <sz val="10"/>
        <rFont val="Noto Sans CJK SC"/>
        <family val="2"/>
      </rPr>
      <t>生成器标准页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门户页</t>
    </r>
  </si>
  <si>
    <r>
      <rPr>
        <sz val="10"/>
        <rFont val="Noto Sans CJK SC"/>
        <family val="2"/>
      </rPr>
      <t>公示期自动下线与异议入口</t>
    </r>
    <r>
      <rPr>
        <sz val="10"/>
        <rFont val="Arial"/>
        <family val="2"/>
      </rPr>
      <t>(V1</t>
    </r>
    <r>
      <rPr>
        <sz val="10"/>
        <rFont val="Noto Sans CJK SC"/>
        <family val="2"/>
      </rPr>
      <t>新增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放二期；后端改由成员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承担，平衡负荷</t>
    </r>
  </si>
  <si>
    <r>
      <rPr>
        <sz val="10"/>
        <rFont val="Noto Sans CJK SC"/>
        <family val="2"/>
      </rPr>
      <t>智能化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精简</t>
    </r>
    <r>
      <rPr>
        <sz val="10"/>
        <rFont val="Arial"/>
        <family val="2"/>
      </rPr>
      <t>)</t>
    </r>
  </si>
  <si>
    <t>政策与报名问答</t>
  </si>
  <si>
    <t>基于已发布政策文本的问答，答案附出处，无依据拒答，可一键关闭</t>
  </si>
  <si>
    <r>
      <rPr>
        <sz val="10"/>
        <rFont val="Noto Sans CJK SC"/>
        <family val="2"/>
      </rPr>
      <t>公众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球队</t>
    </r>
  </si>
  <si>
    <r>
      <rPr>
        <sz val="10"/>
        <rFont val="Noto Sans CJK SC"/>
        <family val="2"/>
      </rPr>
      <t>手写页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悬浮窗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</si>
  <si>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</t>
    </r>
    <r>
      <rPr>
        <sz val="10"/>
        <rFont val="Noto Sans CJK SC"/>
        <family val="2"/>
      </rPr>
      <t>天内唯一保留的大模型功能，最先砍；</t>
    </r>
    <r>
      <rPr>
        <sz val="10"/>
        <rFont val="Arial"/>
        <family val="2"/>
      </rPr>
      <t>V1</t>
    </r>
    <r>
      <rPr>
        <sz val="10"/>
        <rFont val="Noto Sans CJK SC"/>
        <family val="2"/>
      </rPr>
      <t>另外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项</t>
    </r>
    <r>
      <rPr>
        <sz val="10"/>
        <rFont val="Arial"/>
        <family val="2"/>
      </rPr>
      <t>AI</t>
    </r>
    <r>
      <rPr>
        <sz val="10"/>
        <rFont val="Noto Sans CJK SC"/>
        <family val="2"/>
      </rPr>
      <t>全部放二期</t>
    </r>
  </si>
  <si>
    <r>
      <rPr>
        <sz val="9"/>
        <rFont val="Noto Sans CJK SC"/>
        <family val="2"/>
      </rPr>
      <t>核对</t>
    </r>
    <r>
      <rPr>
        <sz val="9"/>
        <rFont val="Arial"/>
        <family val="2"/>
      </rPr>
      <t>(</t>
    </r>
    <r>
      <rPr>
        <sz val="9"/>
        <rFont val="Noto Sans CJK SC"/>
        <family val="2"/>
      </rPr>
      <t>应为</t>
    </r>
    <r>
      <rPr>
        <sz val="9"/>
        <rFont val="Arial"/>
        <family val="2"/>
      </rPr>
      <t>0)</t>
    </r>
  </si>
  <si>
    <r>
      <rPr>
        <b/>
        <sz val="14"/>
        <rFont val="Noto Sans CJK SC"/>
        <family val="2"/>
      </rPr>
      <t>原功能逐条核对（</t>
    </r>
    <r>
      <rPr>
        <b/>
        <sz val="14"/>
        <rFont val="Arial"/>
        <family val="2"/>
      </rPr>
      <t>244</t>
    </r>
    <r>
      <rPr>
        <b/>
        <sz val="14"/>
        <rFont val="Noto Sans CJK SC"/>
        <family val="2"/>
      </rPr>
      <t>条）</t>
    </r>
  </si>
  <si>
    <r>
      <rPr>
        <sz val="10"/>
        <color rgb="FF595959"/>
        <rFont val="Noto Sans CJK SC"/>
        <family val="2"/>
      </rPr>
      <t>原文逐字保留，重复描述也保留；模块、负责人、完成度、优先级、后端完成日按“优化后功能框架”自动带出；</t>
    </r>
    <r>
      <rPr>
        <sz val="10"/>
        <color rgb="FF595959"/>
        <rFont val="Arial"/>
        <family val="2"/>
      </rPr>
      <t>D9–D10</t>
    </r>
    <r>
      <rPr>
        <sz val="10"/>
        <color rgb="FF595959"/>
        <rFont val="Noto Sans CJK SC"/>
        <family val="2"/>
      </rPr>
      <t>验收时在最后一列勾选结论</t>
    </r>
  </si>
  <si>
    <t>序号</t>
  </si>
  <si>
    <t>原表行号</t>
  </si>
  <si>
    <t>原大模块</t>
  </si>
  <si>
    <r>
      <rPr>
        <b/>
        <sz val="10"/>
        <color rgb="FFFFFFFF"/>
        <rFont val="Noto Sans CJK SC"/>
        <family val="2"/>
      </rPr>
      <t>使用角色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端</t>
    </r>
    <r>
      <rPr>
        <b/>
        <sz val="10"/>
        <color rgb="FFFFFFFF"/>
        <rFont val="Arial"/>
        <family val="2"/>
      </rPr>
      <t>)</t>
    </r>
  </si>
  <si>
    <t>功能分组</t>
  </si>
  <si>
    <r>
      <rPr>
        <b/>
        <sz val="10"/>
        <color rgb="FFFFFFFF"/>
        <rFont val="Noto Sans CJK SC"/>
        <family val="2"/>
      </rPr>
      <t>原功能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原文</t>
    </r>
    <r>
      <rPr>
        <b/>
        <sz val="10"/>
        <color rgb="FFFFFFFF"/>
        <rFont val="Arial"/>
        <family val="2"/>
      </rPr>
      <t>)</t>
    </r>
  </si>
  <si>
    <t>新模块编号</t>
  </si>
  <si>
    <t>新模块名称</t>
  </si>
  <si>
    <t>备注</t>
  </si>
  <si>
    <t>验收结论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</si>
  <si>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行</t>
    </r>
  </si>
  <si>
    <t>赛事报名模块</t>
  </si>
  <si>
    <t>球队端</t>
  </si>
  <si>
    <t>报名审核查看</t>
  </si>
  <si>
    <t>球队审核信息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</si>
  <si>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行</t>
    </r>
  </si>
  <si>
    <t>按组别查看球队报名信息公示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</si>
  <si>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行</t>
    </r>
  </si>
  <si>
    <t>按市州查看球队报名信息公示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</si>
  <si>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行</t>
    </r>
  </si>
  <si>
    <t>球队报名信息报送</t>
  </si>
  <si>
    <t>赛事列表信息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</si>
  <si>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行</t>
    </r>
  </si>
  <si>
    <t>赛事报名表单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</si>
  <si>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行</t>
    </r>
  </si>
  <si>
    <t>填写赛事报名表单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</si>
  <si>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</t>
    </r>
    <r>
      <rPr>
        <sz val="10"/>
        <rFont val="Noto Sans CJK SC"/>
        <family val="2"/>
      </rPr>
      <t>行</t>
    </r>
  </si>
  <si>
    <t>报送球员信息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</si>
  <si>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行</t>
    </r>
  </si>
  <si>
    <t>球员信息批量上传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</si>
  <si>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</t>
    </r>
    <r>
      <rPr>
        <sz val="10"/>
        <rFont val="Noto Sans CJK SC"/>
        <family val="2"/>
      </rPr>
      <t>行</t>
    </r>
  </si>
  <si>
    <t>球员照片信息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</si>
  <si>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</t>
    </r>
    <r>
      <rPr>
        <sz val="10"/>
        <rFont val="Noto Sans CJK SC"/>
        <family val="2"/>
      </rPr>
      <t>行</t>
    </r>
  </si>
  <si>
    <t>球员照片批量上传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</si>
  <si>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</t>
    </r>
    <r>
      <rPr>
        <sz val="10"/>
        <rFont val="Noto Sans CJK SC"/>
        <family val="2"/>
      </rPr>
      <t>行</t>
    </r>
  </si>
  <si>
    <t>按球队名称搜索球队报名信息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</si>
  <si>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</t>
    </r>
    <r>
      <rPr>
        <sz val="10"/>
        <rFont val="Noto Sans CJK SC"/>
        <family val="2"/>
      </rPr>
      <t>行</t>
    </r>
  </si>
  <si>
    <t>按报名组别搜索球队报名信息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</si>
  <si>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</t>
    </r>
    <r>
      <rPr>
        <sz val="10"/>
        <rFont val="Noto Sans CJK SC"/>
        <family val="2"/>
      </rPr>
      <t>行</t>
    </r>
  </si>
  <si>
    <t>按审核状态搜索球队报名信息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</si>
  <si>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</t>
    </r>
    <r>
      <rPr>
        <sz val="10"/>
        <rFont val="Noto Sans CJK SC"/>
        <family val="2"/>
      </rPr>
      <t>行</t>
    </r>
  </si>
  <si>
    <t>修改赛事报名信息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</si>
  <si>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</t>
    </r>
    <r>
      <rPr>
        <sz val="10"/>
        <rFont val="Noto Sans CJK SC"/>
        <family val="2"/>
      </rPr>
      <t>行</t>
    </r>
  </si>
  <si>
    <t>删除赛事报名信息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</si>
  <si>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</t>
    </r>
    <r>
      <rPr>
        <sz val="10"/>
        <rFont val="Noto Sans CJK SC"/>
        <family val="2"/>
      </rPr>
      <t>行</t>
    </r>
  </si>
  <si>
    <t>球队报名资料管理</t>
  </si>
  <si>
    <r>
      <rPr>
        <sz val="10"/>
        <rFont val="Noto Sans CJK SC"/>
        <family val="2"/>
      </rPr>
      <t>赛事报名表</t>
    </r>
    <r>
      <rPr>
        <sz val="10"/>
        <rFont val="Arial"/>
        <family val="2"/>
      </rPr>
      <t>PDF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</si>
  <si>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</si>
  <si>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赛事报名表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导出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</si>
  <si>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</t>
    </r>
    <r>
      <rPr>
        <sz val="10"/>
        <rFont val="Noto Sans CJK SC"/>
        <family val="2"/>
      </rPr>
      <t>行</t>
    </r>
  </si>
  <si>
    <t>盖章扫描件上传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</si>
  <si>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</t>
    </r>
    <r>
      <rPr>
        <sz val="10"/>
        <rFont val="Noto Sans CJK SC"/>
        <family val="2"/>
      </rPr>
      <t>行</t>
    </r>
  </si>
  <si>
    <t>球员学籍信息验证材料上传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</si>
  <si>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</t>
    </r>
    <r>
      <rPr>
        <sz val="10"/>
        <rFont val="Noto Sans CJK SC"/>
        <family val="2"/>
      </rPr>
      <t>行</t>
    </r>
  </si>
  <si>
    <t>高校端</t>
  </si>
  <si>
    <t>高校报名审核查看</t>
  </si>
  <si>
    <t>高校审核信息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</si>
  <si>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</t>
    </r>
    <r>
      <rPr>
        <sz val="10"/>
        <rFont val="Noto Sans CJK SC"/>
        <family val="2"/>
      </rPr>
      <t>行</t>
    </r>
  </si>
  <si>
    <t>高校报名信息审核结果查看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</si>
  <si>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</t>
    </r>
    <r>
      <rPr>
        <sz val="10"/>
        <rFont val="Noto Sans CJK SC"/>
        <family val="2"/>
      </rPr>
      <t>行</t>
    </r>
  </si>
  <si>
    <t>高校报名信息报送</t>
  </si>
  <si>
    <t>高校赛事报名表单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</si>
  <si>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25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</si>
  <si>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26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</si>
  <si>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27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</si>
  <si>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28</t>
    </r>
    <r>
      <rPr>
        <sz val="10"/>
        <rFont val="Noto Sans CJK SC"/>
        <family val="2"/>
      </rPr>
      <t>行</t>
    </r>
  </si>
  <si>
    <t>填写高校赛事报名表单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</si>
  <si>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29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</si>
  <si>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30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</si>
  <si>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31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</si>
  <si>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32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</si>
  <si>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33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</si>
  <si>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34</t>
    </r>
    <r>
      <rPr>
        <sz val="10"/>
        <rFont val="Noto Sans CJK SC"/>
        <family val="2"/>
      </rPr>
      <t>行</t>
    </r>
  </si>
  <si>
    <t>修改高校赛事报名信息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</si>
  <si>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35</t>
    </r>
    <r>
      <rPr>
        <sz val="10"/>
        <rFont val="Noto Sans CJK SC"/>
        <family val="2"/>
      </rPr>
      <t>行</t>
    </r>
  </si>
  <si>
    <t>删除高校赛事报名信息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</si>
  <si>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36</t>
    </r>
    <r>
      <rPr>
        <sz val="10"/>
        <rFont val="Noto Sans CJK SC"/>
        <family val="2"/>
      </rPr>
      <t>行</t>
    </r>
  </si>
  <si>
    <t>高校报名资料管理</t>
  </si>
  <si>
    <r>
      <rPr>
        <sz val="10"/>
        <rFont val="Noto Sans CJK SC"/>
        <family val="2"/>
      </rPr>
      <t>高校赛事报名表</t>
    </r>
    <r>
      <rPr>
        <sz val="10"/>
        <rFont val="Arial"/>
        <family val="2"/>
      </rPr>
      <t>PDF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</si>
  <si>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37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</si>
  <si>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高校赛事报名表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导出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</si>
  <si>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38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</si>
  <si>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39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</si>
  <si>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40</t>
    </r>
    <r>
      <rPr>
        <sz val="10"/>
        <rFont val="Noto Sans CJK SC"/>
        <family val="2"/>
      </rPr>
      <t>行</t>
    </r>
  </si>
  <si>
    <t>市州端</t>
  </si>
  <si>
    <t>报名信息审核</t>
  </si>
  <si>
    <t>学校报名信息审核表单信息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</si>
  <si>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41</t>
    </r>
    <r>
      <rPr>
        <sz val="10"/>
        <rFont val="Noto Sans CJK SC"/>
        <family val="2"/>
      </rPr>
      <t>行</t>
    </r>
  </si>
  <si>
    <t>审核学校报名信息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</si>
  <si>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42</t>
    </r>
    <r>
      <rPr>
        <sz val="10"/>
        <rFont val="Noto Sans CJK SC"/>
        <family val="2"/>
      </rPr>
      <t>行</t>
    </r>
  </si>
  <si>
    <t>查询学校报名信息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</si>
  <si>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43</t>
    </r>
    <r>
      <rPr>
        <sz val="10"/>
        <rFont val="Noto Sans CJK SC"/>
        <family val="2"/>
      </rPr>
      <t>行</t>
    </r>
  </si>
  <si>
    <t>填写学校报名审核驳回原因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</si>
  <si>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44</t>
    </r>
    <r>
      <rPr>
        <sz val="10"/>
        <rFont val="Noto Sans CJK SC"/>
        <family val="2"/>
      </rPr>
      <t>行</t>
    </r>
  </si>
  <si>
    <t>市州报名信息报送</t>
  </si>
  <si>
    <t>中小学生赛事报名表单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</si>
  <si>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45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</si>
  <si>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46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</si>
  <si>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47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</si>
  <si>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48</t>
    </r>
    <r>
      <rPr>
        <sz val="10"/>
        <rFont val="Noto Sans CJK SC"/>
        <family val="2"/>
      </rPr>
      <t>行</t>
    </r>
  </si>
  <si>
    <t>填写中小学生赛事报名表单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</si>
  <si>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49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</si>
  <si>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50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</si>
  <si>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51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</si>
  <si>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52</t>
    </r>
    <r>
      <rPr>
        <sz val="10"/>
        <rFont val="Noto Sans CJK SC"/>
        <family val="2"/>
      </rPr>
      <t>行</t>
    </r>
  </si>
  <si>
    <t>修改中小学生赛事报名信息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</si>
  <si>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53</t>
    </r>
    <r>
      <rPr>
        <sz val="10"/>
        <rFont val="Noto Sans CJK SC"/>
        <family val="2"/>
      </rPr>
      <t>行</t>
    </r>
  </si>
  <si>
    <t>删除中小学生赛事报名信息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</si>
  <si>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54</t>
    </r>
    <r>
      <rPr>
        <sz val="10"/>
        <rFont val="Noto Sans CJK SC"/>
        <family val="2"/>
      </rPr>
      <t>行</t>
    </r>
  </si>
  <si>
    <t>市州报名资料管理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</si>
  <si>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55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</si>
  <si>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56</t>
    </r>
    <r>
      <rPr>
        <sz val="10"/>
        <rFont val="Noto Sans CJK SC"/>
        <family val="2"/>
      </rPr>
      <t>行</t>
    </r>
  </si>
  <si>
    <t>全市中小学生赛事报名信息汇总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</si>
  <si>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57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</si>
  <si>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中小学生赛事报名表</t>
    </r>
    <r>
      <rPr>
        <sz val="10"/>
        <rFont val="Arial"/>
        <family val="2"/>
      </rPr>
      <t>PDF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</si>
  <si>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58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</si>
  <si>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中小学生赛事报名表</t>
    </r>
    <r>
      <rPr>
        <sz val="10"/>
        <rFont val="Arial"/>
        <family val="2"/>
      </rPr>
      <t>PDF</t>
    </r>
    <r>
      <rPr>
        <sz val="10"/>
        <rFont val="Noto Sans CJK SC"/>
        <family val="2"/>
      </rPr>
      <t>导出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</si>
  <si>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59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</si>
  <si>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60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</si>
  <si>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61</t>
    </r>
    <r>
      <rPr>
        <sz val="10"/>
        <rFont val="Noto Sans CJK SC"/>
        <family val="2"/>
      </rPr>
      <t>行</t>
    </r>
  </si>
  <si>
    <t>省级审核端</t>
  </si>
  <si>
    <t>球队报名信息查询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</si>
  <si>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62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</si>
  <si>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63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</si>
  <si>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64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</si>
  <si>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65</t>
    </r>
    <r>
      <rPr>
        <sz val="10"/>
        <rFont val="Noto Sans CJK SC"/>
        <family val="2"/>
      </rPr>
      <t>行</t>
    </r>
  </si>
  <si>
    <t>报名信息驳回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</si>
  <si>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66</t>
    </r>
    <r>
      <rPr>
        <sz val="10"/>
        <rFont val="Noto Sans CJK SC"/>
        <family val="2"/>
      </rPr>
      <t>行</t>
    </r>
  </si>
  <si>
    <t>查看球队盖章扫描件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</si>
  <si>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67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</si>
  <si>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下载球员报名信息表</t>
    </r>
    <r>
      <rPr>
        <sz val="10"/>
        <rFont val="Arial"/>
        <family val="2"/>
      </rPr>
      <t>word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</si>
  <si>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68</t>
    </r>
    <r>
      <rPr>
        <sz val="10"/>
        <rFont val="Noto Sans CJK SC"/>
        <family val="2"/>
      </rPr>
      <t>行</t>
    </r>
  </si>
  <si>
    <t>下载球员学籍验证材料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</si>
  <si>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69</t>
    </r>
    <r>
      <rPr>
        <sz val="10"/>
        <rFont val="Noto Sans CJK SC"/>
        <family val="2"/>
      </rPr>
      <t>行</t>
    </r>
  </si>
  <si>
    <t>报名信息管理</t>
  </si>
  <si>
    <t>按姓名搜索教练员报名信息</t>
  </si>
  <si>
    <r>
      <rPr>
        <sz val="9"/>
        <color rgb="FF8A6516"/>
        <rFont val="Noto Sans CJK SC"/>
        <family val="2"/>
      </rPr>
      <t>原表该条在省级审核端出现两次</t>
    </r>
    <r>
      <rPr>
        <sz val="9"/>
        <color rgb="FF8A6516"/>
        <rFont val="Arial"/>
        <family val="2"/>
      </rPr>
      <t>(</t>
    </r>
    <r>
      <rPr>
        <sz val="9"/>
        <color rgb="FF8A6516"/>
        <rFont val="Noto Sans CJK SC"/>
        <family val="2"/>
      </rPr>
      <t>另见后文同名条</t>
    </r>
    <r>
      <rPr>
        <sz val="9"/>
        <color rgb="FF8A6516"/>
        <rFont val="Arial"/>
        <family val="2"/>
      </rPr>
      <t>)</t>
    </r>
    <r>
      <rPr>
        <sz val="9"/>
        <color rgb="FF8A6516"/>
        <rFont val="Noto Sans CJK SC"/>
        <family val="2"/>
      </rPr>
      <t>，保留原文，共用同一接口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</si>
  <si>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70</t>
    </r>
    <r>
      <rPr>
        <sz val="10"/>
        <rFont val="Noto Sans CJK SC"/>
        <family val="2"/>
      </rPr>
      <t>行</t>
    </r>
  </si>
  <si>
    <t>按身份证搜索教练员报名信息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</si>
  <si>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71</t>
    </r>
    <r>
      <rPr>
        <sz val="10"/>
        <rFont val="Noto Sans CJK SC"/>
        <family val="2"/>
      </rPr>
      <t>行</t>
    </r>
  </si>
  <si>
    <t>修改教练员身份信息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</si>
  <si>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72</t>
    </r>
    <r>
      <rPr>
        <sz val="10"/>
        <rFont val="Noto Sans CJK SC"/>
        <family val="2"/>
      </rPr>
      <t>行</t>
    </r>
  </si>
  <si>
    <t>市州报名情况统计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</si>
  <si>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73</t>
    </r>
    <r>
      <rPr>
        <sz val="10"/>
        <rFont val="Noto Sans CJK SC"/>
        <family val="2"/>
      </rPr>
      <t>行</t>
    </r>
  </si>
  <si>
    <t>高校报名情况统计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</si>
  <si>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77</t>
    </r>
    <r>
      <rPr>
        <sz val="10"/>
        <rFont val="Noto Sans CJK SC"/>
        <family val="2"/>
      </rPr>
      <t>行</t>
    </r>
  </si>
  <si>
    <r>
      <rPr>
        <sz val="9"/>
        <color rgb="FF8A6516"/>
        <rFont val="Noto Sans CJK SC"/>
        <family val="2"/>
      </rPr>
      <t>与前面同名条目重复</t>
    </r>
    <r>
      <rPr>
        <sz val="9"/>
        <color rgb="FF8A6516"/>
        <rFont val="Arial"/>
        <family val="2"/>
      </rPr>
      <t>(</t>
    </r>
    <r>
      <rPr>
        <sz val="9"/>
        <color rgb="FF8A6516"/>
        <rFont val="Noto Sans CJK SC"/>
        <family val="2"/>
      </rPr>
      <t>原表重复</t>
    </r>
    <r>
      <rPr>
        <sz val="9"/>
        <color rgb="FF8A6516"/>
        <rFont val="Arial"/>
        <family val="2"/>
      </rPr>
      <t>)</t>
    </r>
    <r>
      <rPr>
        <sz val="9"/>
        <color rgb="FF8A6516"/>
        <rFont val="Noto Sans CJK SC"/>
        <family val="2"/>
      </rPr>
      <t>，保留原文，共用同一接口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</si>
  <si>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78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</si>
  <si>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79</t>
    </r>
    <r>
      <rPr>
        <sz val="10"/>
        <rFont val="Noto Sans CJK SC"/>
        <family val="2"/>
      </rPr>
      <t>行</t>
    </r>
  </si>
  <si>
    <t>上传球员头像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</si>
  <si>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80</t>
    </r>
    <r>
      <rPr>
        <sz val="10"/>
        <rFont val="Noto Sans CJK SC"/>
        <family val="2"/>
      </rPr>
      <t>行</t>
    </r>
  </si>
  <si>
    <t>修改球员身份信息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</si>
  <si>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81</t>
    </r>
    <r>
      <rPr>
        <sz val="10"/>
        <rFont val="Noto Sans CJK SC"/>
        <family val="2"/>
      </rPr>
      <t>行</t>
    </r>
  </si>
  <si>
    <t>增加球员身份信息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</si>
  <si>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82</t>
    </r>
    <r>
      <rPr>
        <sz val="10"/>
        <rFont val="Noto Sans CJK SC"/>
        <family val="2"/>
      </rPr>
      <t>行</t>
    </r>
  </si>
  <si>
    <t>赛事报名情况导出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</si>
  <si>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83</t>
    </r>
    <r>
      <rPr>
        <sz val="10"/>
        <rFont val="Noto Sans CJK SC"/>
        <family val="2"/>
      </rPr>
      <t>行</t>
    </r>
  </si>
  <si>
    <t>报名账号管理</t>
  </si>
  <si>
    <t>报名账号查询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</si>
  <si>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84</t>
    </r>
    <r>
      <rPr>
        <sz val="10"/>
        <rFont val="Noto Sans CJK SC"/>
        <family val="2"/>
      </rPr>
      <t>行</t>
    </r>
  </si>
  <si>
    <t>报名账号修改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</si>
  <si>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85</t>
    </r>
    <r>
      <rPr>
        <sz val="10"/>
        <rFont val="Noto Sans CJK SC"/>
        <family val="2"/>
      </rPr>
      <t>行</t>
    </r>
  </si>
  <si>
    <t>报名账号删除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</si>
  <si>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86</t>
    </r>
    <r>
      <rPr>
        <sz val="10"/>
        <rFont val="Noto Sans CJK SC"/>
        <family val="2"/>
      </rPr>
      <t>行</t>
    </r>
  </si>
  <si>
    <t>报名日志管理</t>
  </si>
  <si>
    <t>管理报名日志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</si>
  <si>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87</t>
    </r>
    <r>
      <rPr>
        <sz val="10"/>
        <rFont val="Noto Sans CJK SC"/>
        <family val="2"/>
      </rPr>
      <t>行</t>
    </r>
  </si>
  <si>
    <t>赛事身份核验</t>
  </si>
  <si>
    <t>球员人脸核验识别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</si>
  <si>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88</t>
    </r>
    <r>
      <rPr>
        <sz val="10"/>
        <rFont val="Noto Sans CJK SC"/>
        <family val="2"/>
      </rPr>
      <t>行</t>
    </r>
  </si>
  <si>
    <t>赛事图文直播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</si>
  <si>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89</t>
    </r>
    <r>
      <rPr>
        <sz val="10"/>
        <rFont val="Noto Sans CJK SC"/>
        <family val="2"/>
      </rPr>
      <t>行</t>
    </r>
  </si>
  <si>
    <t>赛事信息录入</t>
  </si>
  <si>
    <t>录入比赛裁判员信息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</si>
  <si>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90</t>
    </r>
    <r>
      <rPr>
        <sz val="10"/>
        <rFont val="Noto Sans CJK SC"/>
        <family val="2"/>
      </rPr>
      <t>行</t>
    </r>
  </si>
  <si>
    <t>录入赛事对阵双方信息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</si>
  <si>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91</t>
    </r>
    <r>
      <rPr>
        <sz val="10"/>
        <rFont val="Noto Sans CJK SC"/>
        <family val="2"/>
      </rPr>
      <t>行</t>
    </r>
  </si>
  <si>
    <t>修改赛事对阵双方信息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</si>
  <si>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92</t>
    </r>
    <r>
      <rPr>
        <sz val="10"/>
        <rFont val="Noto Sans CJK SC"/>
        <family val="2"/>
      </rPr>
      <t>行</t>
    </r>
  </si>
  <si>
    <t>删除赛事对阵双方信息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</si>
  <si>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93</t>
    </r>
    <r>
      <rPr>
        <sz val="10"/>
        <rFont val="Noto Sans CJK SC"/>
        <family val="2"/>
      </rPr>
      <t>行</t>
    </r>
  </si>
  <si>
    <t>查看赛事对阵双方信息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</si>
  <si>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94</t>
    </r>
    <r>
      <rPr>
        <sz val="10"/>
        <rFont val="Noto Sans CJK SC"/>
        <family val="2"/>
      </rPr>
      <t>行</t>
    </r>
  </si>
  <si>
    <t>录入赛事对阵双方进球信息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</si>
  <si>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95</t>
    </r>
    <r>
      <rPr>
        <sz val="10"/>
        <rFont val="Noto Sans CJK SC"/>
        <family val="2"/>
      </rPr>
      <t>行</t>
    </r>
  </si>
  <si>
    <t>修改赛事对阵双方进球信息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</si>
  <si>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96</t>
    </r>
    <r>
      <rPr>
        <sz val="10"/>
        <rFont val="Noto Sans CJK SC"/>
        <family val="2"/>
      </rPr>
      <t>行</t>
    </r>
  </si>
  <si>
    <t>删除赛事对阵双方进球信息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</si>
  <si>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97</t>
    </r>
    <r>
      <rPr>
        <sz val="10"/>
        <rFont val="Noto Sans CJK SC"/>
        <family val="2"/>
      </rPr>
      <t>行</t>
    </r>
  </si>
  <si>
    <t>查看赛事对阵双方进球信息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</si>
  <si>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98</t>
    </r>
    <r>
      <rPr>
        <sz val="10"/>
        <rFont val="Noto Sans CJK SC"/>
        <family val="2"/>
      </rPr>
      <t>行</t>
    </r>
  </si>
  <si>
    <t>录入赛事对阵双方判罚信息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</si>
  <si>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99</t>
    </r>
    <r>
      <rPr>
        <sz val="10"/>
        <rFont val="Noto Sans CJK SC"/>
        <family val="2"/>
      </rPr>
      <t>行</t>
    </r>
  </si>
  <si>
    <t>修改赛事对阵双方判罚信息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</si>
  <si>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100</t>
    </r>
    <r>
      <rPr>
        <sz val="10"/>
        <rFont val="Noto Sans CJK SC"/>
        <family val="2"/>
      </rPr>
      <t>行</t>
    </r>
  </si>
  <si>
    <t>删除赛事对阵双方判罚信息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</si>
  <si>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101</t>
    </r>
    <r>
      <rPr>
        <sz val="10"/>
        <rFont val="Noto Sans CJK SC"/>
        <family val="2"/>
      </rPr>
      <t>行</t>
    </r>
  </si>
  <si>
    <t>查看赛事对阵双方判罚信息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</si>
  <si>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102</t>
    </r>
    <r>
      <rPr>
        <sz val="10"/>
        <rFont val="Noto Sans CJK SC"/>
        <family val="2"/>
      </rPr>
      <t>行</t>
    </r>
  </si>
  <si>
    <t>赛事文件管理</t>
  </si>
  <si>
    <t>上传赛事签到表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</si>
  <si>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103</t>
    </r>
    <r>
      <rPr>
        <sz val="10"/>
        <rFont val="Noto Sans CJK SC"/>
        <family val="2"/>
      </rPr>
      <t>行</t>
    </r>
  </si>
  <si>
    <t>上传赛事记录集签字确认表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</si>
  <si>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104</t>
    </r>
    <r>
      <rPr>
        <sz val="10"/>
        <rFont val="Noto Sans CJK SC"/>
        <family val="2"/>
      </rPr>
      <t>行</t>
    </r>
  </si>
  <si>
    <t>上传裁判员报告书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</si>
  <si>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105</t>
    </r>
    <r>
      <rPr>
        <sz val="10"/>
        <rFont val="Noto Sans CJK SC"/>
        <family val="2"/>
      </rPr>
      <t>行</t>
    </r>
  </si>
  <si>
    <t>赛事直播链接管理</t>
  </si>
  <si>
    <t>管理赛事直播链接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</si>
  <si>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106</t>
    </r>
    <r>
      <rPr>
        <sz val="10"/>
        <rFont val="Noto Sans CJK SC"/>
        <family val="2"/>
      </rPr>
      <t>行</t>
    </r>
  </si>
  <si>
    <t>赛事门户模块</t>
  </si>
  <si>
    <t>赛事新闻首页</t>
  </si>
  <si>
    <t>赛事新闻发布管理</t>
  </si>
  <si>
    <t>赛事新闻表单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</si>
  <si>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107</t>
    </r>
    <r>
      <rPr>
        <sz val="10"/>
        <rFont val="Noto Sans CJK SC"/>
        <family val="2"/>
      </rPr>
      <t>行</t>
    </r>
  </si>
  <si>
    <t>发布赛事新闻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</si>
  <si>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108</t>
    </r>
    <r>
      <rPr>
        <sz val="10"/>
        <rFont val="Noto Sans CJK SC"/>
        <family val="2"/>
      </rPr>
      <t>行</t>
    </r>
  </si>
  <si>
    <t>修改赛事新闻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</si>
  <si>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109</t>
    </r>
    <r>
      <rPr>
        <sz val="10"/>
        <rFont val="Noto Sans CJK SC"/>
        <family val="2"/>
      </rPr>
      <t>行</t>
    </r>
  </si>
  <si>
    <t>删除赛事新闻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</si>
  <si>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110</t>
    </r>
    <r>
      <rPr>
        <sz val="10"/>
        <rFont val="Noto Sans CJK SC"/>
        <family val="2"/>
      </rPr>
      <t>行</t>
    </r>
  </si>
  <si>
    <t>查看赛事新闻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</si>
  <si>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111</t>
    </r>
    <r>
      <rPr>
        <sz val="10"/>
        <rFont val="Noto Sans CJK SC"/>
        <family val="2"/>
      </rPr>
      <t>行</t>
    </r>
  </si>
  <si>
    <t>赛事政策发布管理</t>
  </si>
  <si>
    <t>赛事政策信息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</si>
  <si>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112</t>
    </r>
    <r>
      <rPr>
        <sz val="10"/>
        <rFont val="Noto Sans CJK SC"/>
        <family val="2"/>
      </rPr>
      <t>行</t>
    </r>
  </si>
  <si>
    <t>发布赛事政策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</si>
  <si>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113</t>
    </r>
    <r>
      <rPr>
        <sz val="10"/>
        <rFont val="Noto Sans CJK SC"/>
        <family val="2"/>
      </rPr>
      <t>行</t>
    </r>
  </si>
  <si>
    <t>修改赛事政策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</si>
  <si>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114</t>
    </r>
    <r>
      <rPr>
        <sz val="10"/>
        <rFont val="Noto Sans CJK SC"/>
        <family val="2"/>
      </rPr>
      <t>行</t>
    </r>
  </si>
  <si>
    <t>删除赛事政策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</si>
  <si>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115</t>
    </r>
    <r>
      <rPr>
        <sz val="10"/>
        <rFont val="Noto Sans CJK SC"/>
        <family val="2"/>
      </rPr>
      <t>行</t>
    </r>
  </si>
  <si>
    <t>查看赛事政策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</si>
  <si>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116</t>
    </r>
    <r>
      <rPr>
        <sz val="10"/>
        <rFont val="Noto Sans CJK SC"/>
        <family val="2"/>
      </rPr>
      <t>行</t>
    </r>
  </si>
  <si>
    <t>赛事对阵信息管理</t>
  </si>
  <si>
    <t>比赛对阵信息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</si>
  <si>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117</t>
    </r>
    <r>
      <rPr>
        <sz val="10"/>
        <rFont val="Noto Sans CJK SC"/>
        <family val="2"/>
      </rPr>
      <t>行</t>
    </r>
  </si>
  <si>
    <t>发布比赛对阵信息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</si>
  <si>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118</t>
    </r>
    <r>
      <rPr>
        <sz val="10"/>
        <rFont val="Noto Sans CJK SC"/>
        <family val="2"/>
      </rPr>
      <t>行</t>
    </r>
  </si>
  <si>
    <t>修改比赛对阵信息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</si>
  <si>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119</t>
    </r>
    <r>
      <rPr>
        <sz val="10"/>
        <rFont val="Noto Sans CJK SC"/>
        <family val="2"/>
      </rPr>
      <t>行</t>
    </r>
  </si>
  <si>
    <t>删除比赛对阵信息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</si>
  <si>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120</t>
    </r>
    <r>
      <rPr>
        <sz val="10"/>
        <rFont val="Noto Sans CJK SC"/>
        <family val="2"/>
      </rPr>
      <t>行</t>
    </r>
  </si>
  <si>
    <t>按比赛状态查看对阵信息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</si>
  <si>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121</t>
    </r>
    <r>
      <rPr>
        <sz val="10"/>
        <rFont val="Noto Sans CJK SC"/>
        <family val="2"/>
      </rPr>
      <t>行</t>
    </r>
  </si>
  <si>
    <t>按球队姓名查看对阵信息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</si>
  <si>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122</t>
    </r>
    <r>
      <rPr>
        <sz val="10"/>
        <rFont val="Noto Sans CJK SC"/>
        <family val="2"/>
      </rPr>
      <t>行</t>
    </r>
  </si>
  <si>
    <t>赛事结果发布管理</t>
  </si>
  <si>
    <t>赛事结果信息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</si>
  <si>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123</t>
    </r>
    <r>
      <rPr>
        <sz val="10"/>
        <rFont val="Noto Sans CJK SC"/>
        <family val="2"/>
      </rPr>
      <t>行</t>
    </r>
  </si>
  <si>
    <t>发布赛事结果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</si>
  <si>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124</t>
    </r>
    <r>
      <rPr>
        <sz val="10"/>
        <rFont val="Noto Sans CJK SC"/>
        <family val="2"/>
      </rPr>
      <t>行</t>
    </r>
  </si>
  <si>
    <t>修改赛事结果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</si>
  <si>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125</t>
    </r>
    <r>
      <rPr>
        <sz val="10"/>
        <rFont val="Noto Sans CJK SC"/>
        <family val="2"/>
      </rPr>
      <t>行</t>
    </r>
  </si>
  <si>
    <t>删除赛事结果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</si>
  <si>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126</t>
    </r>
    <r>
      <rPr>
        <sz val="10"/>
        <rFont val="Noto Sans CJK SC"/>
        <family val="2"/>
      </rPr>
      <t>行</t>
    </r>
  </si>
  <si>
    <t>查看赛事结果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</si>
  <si>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127</t>
    </r>
    <r>
      <rPr>
        <sz val="10"/>
        <rFont val="Noto Sans CJK SC"/>
        <family val="2"/>
      </rPr>
      <t>行</t>
    </r>
  </si>
  <si>
    <t>赛事精彩瞬间管理</t>
  </si>
  <si>
    <t>赛事精彩瞬间表单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</si>
  <si>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128</t>
    </r>
    <r>
      <rPr>
        <sz val="10"/>
        <rFont val="Noto Sans CJK SC"/>
        <family val="2"/>
      </rPr>
      <t>行</t>
    </r>
  </si>
  <si>
    <t>发布赛事精彩瞬间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</si>
  <si>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129</t>
    </r>
    <r>
      <rPr>
        <sz val="10"/>
        <rFont val="Noto Sans CJK SC"/>
        <family val="2"/>
      </rPr>
      <t>行</t>
    </r>
  </si>
  <si>
    <t>修改赛事精彩瞬间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</si>
  <si>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130</t>
    </r>
    <r>
      <rPr>
        <sz val="10"/>
        <rFont val="Noto Sans CJK SC"/>
        <family val="2"/>
      </rPr>
      <t>行</t>
    </r>
  </si>
  <si>
    <t>删除赛事精彩瞬间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</si>
  <si>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131</t>
    </r>
    <r>
      <rPr>
        <sz val="10"/>
        <rFont val="Noto Sans CJK SC"/>
        <family val="2"/>
      </rPr>
      <t>行</t>
    </r>
  </si>
  <si>
    <t>查看赛事精彩瞬间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</si>
  <si>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132</t>
    </r>
    <r>
      <rPr>
        <sz val="10"/>
        <rFont val="Noto Sans CJK SC"/>
        <family val="2"/>
      </rPr>
      <t>行</t>
    </r>
  </si>
  <si>
    <t>赛事最佳阵容管理</t>
  </si>
  <si>
    <t>赛事最佳阵容表单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</si>
  <si>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133</t>
    </r>
    <r>
      <rPr>
        <sz val="10"/>
        <rFont val="Noto Sans CJK SC"/>
        <family val="2"/>
      </rPr>
      <t>行</t>
    </r>
  </si>
  <si>
    <t>发布赛事最佳阵容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</si>
  <si>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134</t>
    </r>
    <r>
      <rPr>
        <sz val="10"/>
        <rFont val="Noto Sans CJK SC"/>
        <family val="2"/>
      </rPr>
      <t>行</t>
    </r>
  </si>
  <si>
    <t>修改赛事最佳阵容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</si>
  <si>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135</t>
    </r>
    <r>
      <rPr>
        <sz val="10"/>
        <rFont val="Noto Sans CJK SC"/>
        <family val="2"/>
      </rPr>
      <t>行</t>
    </r>
  </si>
  <si>
    <t>删除赛事最佳阵容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</si>
  <si>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136</t>
    </r>
    <r>
      <rPr>
        <sz val="10"/>
        <rFont val="Noto Sans CJK SC"/>
        <family val="2"/>
      </rPr>
      <t>行</t>
    </r>
  </si>
  <si>
    <t>查看赛事最佳阵容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</si>
  <si>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137</t>
    </r>
    <r>
      <rPr>
        <sz val="10"/>
        <rFont val="Noto Sans CJK SC"/>
        <family val="2"/>
      </rPr>
      <t>行</t>
    </r>
  </si>
  <si>
    <t>按赛事类别搜索最佳阵容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</si>
  <si>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138</t>
    </r>
    <r>
      <rPr>
        <sz val="10"/>
        <rFont val="Noto Sans CJK SC"/>
        <family val="2"/>
      </rPr>
      <t>行</t>
    </r>
  </si>
  <si>
    <t>赛事照片管理</t>
  </si>
  <si>
    <t>赛事轮播图信息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</si>
  <si>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139</t>
    </r>
    <r>
      <rPr>
        <sz val="10"/>
        <rFont val="Noto Sans CJK SC"/>
        <family val="2"/>
      </rPr>
      <t>行</t>
    </r>
  </si>
  <si>
    <t>上传赛事轮播图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</si>
  <si>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140</t>
    </r>
    <r>
      <rPr>
        <sz val="10"/>
        <rFont val="Noto Sans CJK SC"/>
        <family val="2"/>
      </rPr>
      <t>行</t>
    </r>
  </si>
  <si>
    <t>上传新闻跳转链接图片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</si>
  <si>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141</t>
    </r>
    <r>
      <rPr>
        <sz val="10"/>
        <rFont val="Noto Sans CJK SC"/>
        <family val="2"/>
      </rPr>
      <t>行</t>
    </r>
  </si>
  <si>
    <t>赛事合作方管理</t>
  </si>
  <si>
    <t>增加合作方官网链接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</si>
  <si>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142</t>
    </r>
    <r>
      <rPr>
        <sz val="10"/>
        <rFont val="Noto Sans CJK SC"/>
        <family val="2"/>
      </rPr>
      <t>行</t>
    </r>
  </si>
  <si>
    <t>删除合作方官网链接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</si>
  <si>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143</t>
    </r>
    <r>
      <rPr>
        <sz val="10"/>
        <rFont val="Noto Sans CJK SC"/>
        <family val="2"/>
      </rPr>
      <t>行</t>
    </r>
  </si>
  <si>
    <t>修改合作方官网链接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</si>
  <si>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144</t>
    </r>
    <r>
      <rPr>
        <sz val="10"/>
        <rFont val="Noto Sans CJK SC"/>
        <family val="2"/>
      </rPr>
      <t>行</t>
    </r>
  </si>
  <si>
    <t>上传合作方图片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</si>
  <si>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145</t>
    </r>
    <r>
      <rPr>
        <sz val="10"/>
        <rFont val="Noto Sans CJK SC"/>
        <family val="2"/>
      </rPr>
      <t>行</t>
    </r>
  </si>
  <si>
    <t>赛事榜单管理</t>
  </si>
  <si>
    <t>选手进球数量统计榜单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</si>
  <si>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146</t>
    </r>
    <r>
      <rPr>
        <sz val="10"/>
        <rFont val="Noto Sans CJK SC"/>
        <family val="2"/>
      </rPr>
      <t>行</t>
    </r>
  </si>
  <si>
    <t>赛事统计管理</t>
  </si>
  <si>
    <t>高校组选手进球数量统计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</si>
  <si>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147</t>
    </r>
    <r>
      <rPr>
        <sz val="10"/>
        <rFont val="Noto Sans CJK SC"/>
        <family val="2"/>
      </rPr>
      <t>行</t>
    </r>
  </si>
  <si>
    <t>中学组选手进球数量统计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</si>
  <si>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148</t>
    </r>
    <r>
      <rPr>
        <sz val="10"/>
        <rFont val="Noto Sans CJK SC"/>
        <family val="2"/>
      </rPr>
      <t>行</t>
    </r>
  </si>
  <si>
    <t>小学组选手进球数量统计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</si>
  <si>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149</t>
    </r>
    <r>
      <rPr>
        <sz val="10"/>
        <rFont val="Noto Sans CJK SC"/>
        <family val="2"/>
      </rPr>
      <t>行</t>
    </r>
  </si>
  <si>
    <t>赛事管理模块</t>
  </si>
  <si>
    <t>运动员端</t>
  </si>
  <si>
    <t>运动员信息管理</t>
  </si>
  <si>
    <t>运动员注册表单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</si>
  <si>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150</t>
    </r>
    <r>
      <rPr>
        <sz val="10"/>
        <rFont val="Noto Sans CJK SC"/>
        <family val="2"/>
      </rPr>
      <t>行</t>
    </r>
  </si>
  <si>
    <t>填写运动员注册表单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</si>
  <si>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151</t>
    </r>
    <r>
      <rPr>
        <sz val="10"/>
        <rFont val="Noto Sans CJK SC"/>
        <family val="2"/>
      </rPr>
      <t>行</t>
    </r>
  </si>
  <si>
    <t>运动员数据匹配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</si>
  <si>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152</t>
    </r>
    <r>
      <rPr>
        <sz val="10"/>
        <rFont val="Noto Sans CJK SC"/>
        <family val="2"/>
      </rPr>
      <t>行</t>
    </r>
  </si>
  <si>
    <t>运动员个人信息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</si>
  <si>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153</t>
    </r>
    <r>
      <rPr>
        <sz val="10"/>
        <rFont val="Noto Sans CJK SC"/>
        <family val="2"/>
      </rPr>
      <t>行</t>
    </r>
  </si>
  <si>
    <t>运动员个人信息确认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</si>
  <si>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154</t>
    </r>
    <r>
      <rPr>
        <sz val="10"/>
        <rFont val="Noto Sans CJK SC"/>
        <family val="2"/>
      </rPr>
      <t>行</t>
    </r>
  </si>
  <si>
    <t>运动员公示管理</t>
  </si>
  <si>
    <t>查询运动员公示信息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</si>
  <si>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155</t>
    </r>
    <r>
      <rPr>
        <sz val="10"/>
        <rFont val="Noto Sans CJK SC"/>
        <family val="2"/>
      </rPr>
      <t>行</t>
    </r>
  </si>
  <si>
    <t>运动员信息公示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</si>
  <si>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156</t>
    </r>
    <r>
      <rPr>
        <sz val="10"/>
        <rFont val="Noto Sans CJK SC"/>
        <family val="2"/>
      </rPr>
      <t>行</t>
    </r>
  </si>
  <si>
    <t>运动员查看自身队伍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</si>
  <si>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157</t>
    </r>
    <r>
      <rPr>
        <sz val="10"/>
        <rFont val="Noto Sans CJK SC"/>
        <family val="2"/>
      </rPr>
      <t>行</t>
    </r>
  </si>
  <si>
    <t>运动员履历管理</t>
  </si>
  <si>
    <t>运动员增加所属队伍信息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</si>
  <si>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158</t>
    </r>
    <r>
      <rPr>
        <sz val="10"/>
        <rFont val="Noto Sans CJK SC"/>
        <family val="2"/>
      </rPr>
      <t>行</t>
    </r>
  </si>
  <si>
    <t>运动员修改所属球队信息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</si>
  <si>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159</t>
    </r>
    <r>
      <rPr>
        <sz val="10"/>
        <rFont val="Noto Sans CJK SC"/>
        <family val="2"/>
      </rPr>
      <t>行</t>
    </r>
  </si>
  <si>
    <t>运动员上传学生学籍证明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</si>
  <si>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160</t>
    </r>
    <r>
      <rPr>
        <sz val="10"/>
        <rFont val="Noto Sans CJK SC"/>
        <family val="2"/>
      </rPr>
      <t>行</t>
    </r>
  </si>
  <si>
    <t>运动员上传运动员证书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</si>
  <si>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161</t>
    </r>
    <r>
      <rPr>
        <sz val="10"/>
        <rFont val="Noto Sans CJK SC"/>
        <family val="2"/>
      </rPr>
      <t>行</t>
    </r>
  </si>
  <si>
    <t>运动员填写获奖经历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</si>
  <si>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162</t>
    </r>
    <r>
      <rPr>
        <sz val="10"/>
        <rFont val="Noto Sans CJK SC"/>
        <family val="2"/>
      </rPr>
      <t>行</t>
    </r>
  </si>
  <si>
    <t>运动员上传获奖证书或证明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</si>
  <si>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163</t>
    </r>
    <r>
      <rPr>
        <sz val="10"/>
        <rFont val="Noto Sans CJK SC"/>
        <family val="2"/>
      </rPr>
      <t>行</t>
    </r>
  </si>
  <si>
    <t>运动员上传参与赛事情况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</si>
  <si>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164</t>
    </r>
    <r>
      <rPr>
        <sz val="10"/>
        <rFont val="Noto Sans CJK SC"/>
        <family val="2"/>
      </rPr>
      <t>行</t>
    </r>
  </si>
  <si>
    <t>运动员上传学历证明材料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</si>
  <si>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165</t>
    </r>
    <r>
      <rPr>
        <sz val="10"/>
        <rFont val="Noto Sans CJK SC"/>
        <family val="2"/>
      </rPr>
      <t>行</t>
    </r>
  </si>
  <si>
    <t>运动员上场其他证明材料</t>
  </si>
  <si>
    <r>
      <rPr>
        <sz val="9"/>
        <color rgb="FF8A6516"/>
        <rFont val="Noto Sans CJK SC"/>
        <family val="2"/>
      </rPr>
      <t>原文疑似笔误</t>
    </r>
    <r>
      <rPr>
        <sz val="9"/>
        <color rgb="FF8A6516"/>
        <rFont val="Arial"/>
        <family val="2"/>
      </rPr>
      <t>(</t>
    </r>
    <r>
      <rPr>
        <sz val="9"/>
        <color rgb="FF8A6516"/>
        <rFont val="Noto Sans CJK SC"/>
        <family val="2"/>
      </rPr>
      <t>球队成员县信息→球队成员信息；运动员上场→上传</t>
    </r>
    <r>
      <rPr>
        <sz val="9"/>
        <color rgb="FF8A6516"/>
        <rFont val="Arial"/>
        <family val="2"/>
      </rPr>
      <t>)</t>
    </r>
    <r>
      <rPr>
        <sz val="9"/>
        <color rgb="FF8A6516"/>
        <rFont val="Noto Sans CJK SC"/>
        <family val="2"/>
      </rPr>
      <t>，已保留原文，待确认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</si>
  <si>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166</t>
    </r>
    <r>
      <rPr>
        <sz val="10"/>
        <rFont val="Noto Sans CJK SC"/>
        <family val="2"/>
      </rPr>
      <t>行</t>
    </r>
  </si>
  <si>
    <t>教练员端</t>
  </si>
  <si>
    <t>教练员个人信息管理</t>
  </si>
  <si>
    <t>教练员注册表单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</si>
  <si>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167</t>
    </r>
    <r>
      <rPr>
        <sz val="10"/>
        <rFont val="Noto Sans CJK SC"/>
        <family val="2"/>
      </rPr>
      <t>行</t>
    </r>
  </si>
  <si>
    <t>填写教练员注册表单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</si>
  <si>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168</t>
    </r>
    <r>
      <rPr>
        <sz val="10"/>
        <rFont val="Noto Sans CJK SC"/>
        <family val="2"/>
      </rPr>
      <t>行</t>
    </r>
  </si>
  <si>
    <t>教练员个人信息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</si>
  <si>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169</t>
    </r>
    <r>
      <rPr>
        <sz val="10"/>
        <rFont val="Noto Sans CJK SC"/>
        <family val="2"/>
      </rPr>
      <t>行</t>
    </r>
  </si>
  <si>
    <t>完善教练员个人信息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</si>
  <si>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170</t>
    </r>
    <r>
      <rPr>
        <sz val="10"/>
        <rFont val="Noto Sans CJK SC"/>
        <family val="2"/>
      </rPr>
      <t>行</t>
    </r>
  </si>
  <si>
    <t>教练员个人中心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</si>
  <si>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171</t>
    </r>
    <r>
      <rPr>
        <sz val="10"/>
        <rFont val="Noto Sans CJK SC"/>
        <family val="2"/>
      </rPr>
      <t>行</t>
    </r>
  </si>
  <si>
    <t>修改教练员个人信息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</si>
  <si>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172</t>
    </r>
    <r>
      <rPr>
        <sz val="10"/>
        <rFont val="Noto Sans CJK SC"/>
        <family val="2"/>
      </rPr>
      <t>行</t>
    </r>
  </si>
  <si>
    <t>教练员履历管理</t>
  </si>
  <si>
    <t>教练员信息公示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</si>
  <si>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173</t>
    </r>
    <r>
      <rPr>
        <sz val="10"/>
        <rFont val="Noto Sans CJK SC"/>
        <family val="2"/>
      </rPr>
      <t>行</t>
    </r>
  </si>
  <si>
    <t>教练员上传所属球队信息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</si>
  <si>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174</t>
    </r>
    <r>
      <rPr>
        <sz val="10"/>
        <rFont val="Noto Sans CJK SC"/>
        <family val="2"/>
      </rPr>
      <t>行</t>
    </r>
  </si>
  <si>
    <t>教练员上传执教记录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</si>
  <si>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175</t>
    </r>
    <r>
      <rPr>
        <sz val="10"/>
        <rFont val="Noto Sans CJK SC"/>
        <family val="2"/>
      </rPr>
      <t>行</t>
    </r>
  </si>
  <si>
    <t>教练员上传参与比赛记录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</si>
  <si>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176</t>
    </r>
    <r>
      <rPr>
        <sz val="10"/>
        <rFont val="Noto Sans CJK SC"/>
        <family val="2"/>
      </rPr>
      <t>行</t>
    </r>
  </si>
  <si>
    <t>教练员上传获奖证书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</si>
  <si>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177</t>
    </r>
    <r>
      <rPr>
        <sz val="10"/>
        <rFont val="Noto Sans CJK SC"/>
        <family val="2"/>
      </rPr>
      <t>行</t>
    </r>
  </si>
  <si>
    <t>教练员上传学历证明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</si>
  <si>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178</t>
    </r>
    <r>
      <rPr>
        <sz val="10"/>
        <rFont val="Noto Sans CJK SC"/>
        <family val="2"/>
      </rPr>
      <t>行</t>
    </r>
  </si>
  <si>
    <t>教练员上传学籍证明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</si>
  <si>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179</t>
    </r>
    <r>
      <rPr>
        <sz val="10"/>
        <rFont val="Noto Sans CJK SC"/>
        <family val="2"/>
      </rPr>
      <t>行</t>
    </r>
  </si>
  <si>
    <t>教练员上传参与培训记录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</si>
  <si>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180</t>
    </r>
    <r>
      <rPr>
        <sz val="10"/>
        <rFont val="Noto Sans CJK SC"/>
        <family val="2"/>
      </rPr>
      <t>行</t>
    </r>
  </si>
  <si>
    <t>教练员上传教师资格证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</si>
  <si>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181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</si>
  <si>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教练员上传亚足联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国际足联教练员证书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</si>
  <si>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182</t>
    </r>
    <r>
      <rPr>
        <sz val="10"/>
        <rFont val="Noto Sans CJK SC"/>
        <family val="2"/>
      </rPr>
      <t>行</t>
    </r>
  </si>
  <si>
    <t>教练员公示</t>
  </si>
  <si>
    <t>查看教练员信息公示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</si>
  <si>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183</t>
    </r>
    <r>
      <rPr>
        <sz val="10"/>
        <rFont val="Noto Sans CJK SC"/>
        <family val="2"/>
      </rPr>
      <t>行</t>
    </r>
  </si>
  <si>
    <t>球队基本信息管理</t>
  </si>
  <si>
    <t>创建球队表单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</si>
  <si>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184</t>
    </r>
    <r>
      <rPr>
        <sz val="10"/>
        <rFont val="Noto Sans CJK SC"/>
        <family val="2"/>
      </rPr>
      <t>行</t>
    </r>
  </si>
  <si>
    <t>创建球队信息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</si>
  <si>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185</t>
    </r>
    <r>
      <rPr>
        <sz val="10"/>
        <rFont val="Noto Sans CJK SC"/>
        <family val="2"/>
      </rPr>
      <t>行</t>
    </r>
  </si>
  <si>
    <t>修改球队信息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</si>
  <si>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186</t>
    </r>
    <r>
      <rPr>
        <sz val="10"/>
        <rFont val="Noto Sans CJK SC"/>
        <family val="2"/>
      </rPr>
      <t>行</t>
    </r>
  </si>
  <si>
    <t>删除球队信息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</si>
  <si>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187</t>
    </r>
    <r>
      <rPr>
        <sz val="10"/>
        <rFont val="Noto Sans CJK SC"/>
        <family val="2"/>
      </rPr>
      <t>行</t>
    </r>
  </si>
  <si>
    <t>查询球队信息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</si>
  <si>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188</t>
    </r>
    <r>
      <rPr>
        <sz val="10"/>
        <rFont val="Noto Sans CJK SC"/>
        <family val="2"/>
      </rPr>
      <t>行</t>
    </r>
  </si>
  <si>
    <t>球队履历管理</t>
  </si>
  <si>
    <t>上传球队成员信息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</si>
  <si>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189</t>
    </r>
    <r>
      <rPr>
        <sz val="10"/>
        <rFont val="Noto Sans CJK SC"/>
        <family val="2"/>
      </rPr>
      <t>行</t>
    </r>
  </si>
  <si>
    <t>修改球队成员县信息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</si>
  <si>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190</t>
    </r>
    <r>
      <rPr>
        <sz val="10"/>
        <rFont val="Noto Sans CJK SC"/>
        <family val="2"/>
      </rPr>
      <t>行</t>
    </r>
  </si>
  <si>
    <t>删除球队成员信息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</si>
  <si>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191</t>
    </r>
    <r>
      <rPr>
        <sz val="10"/>
        <rFont val="Noto Sans CJK SC"/>
        <family val="2"/>
      </rPr>
      <t>行</t>
    </r>
  </si>
  <si>
    <t>按姓名搜索球队成员信息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</si>
  <si>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192</t>
    </r>
    <r>
      <rPr>
        <sz val="10"/>
        <rFont val="Noto Sans CJK SC"/>
        <family val="2"/>
      </rPr>
      <t>行</t>
    </r>
  </si>
  <si>
    <t>按身份证搜索球队成员信息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</si>
  <si>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193</t>
    </r>
    <r>
      <rPr>
        <sz val="10"/>
        <rFont val="Noto Sans CJK SC"/>
        <family val="2"/>
      </rPr>
      <t>行</t>
    </r>
  </si>
  <si>
    <t>上传球队成员照片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</si>
  <si>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194</t>
    </r>
    <r>
      <rPr>
        <sz val="10"/>
        <rFont val="Noto Sans CJK SC"/>
        <family val="2"/>
      </rPr>
      <t>行</t>
    </r>
  </si>
  <si>
    <t>上传球队训练计划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</si>
  <si>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195</t>
    </r>
    <r>
      <rPr>
        <sz val="10"/>
        <rFont val="Noto Sans CJK SC"/>
        <family val="2"/>
      </rPr>
      <t>行</t>
    </r>
  </si>
  <si>
    <t>上传球队荣誉证书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</si>
  <si>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196</t>
    </r>
    <r>
      <rPr>
        <sz val="10"/>
        <rFont val="Noto Sans CJK SC"/>
        <family val="2"/>
      </rPr>
      <t>行</t>
    </r>
  </si>
  <si>
    <t>上传球队参赛记录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</si>
  <si>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197</t>
    </r>
    <r>
      <rPr>
        <sz val="10"/>
        <rFont val="Noto Sans CJK SC"/>
        <family val="2"/>
      </rPr>
      <t>行</t>
    </r>
  </si>
  <si>
    <t>上传球队对阵记录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</si>
  <si>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198</t>
    </r>
    <r>
      <rPr>
        <sz val="10"/>
        <rFont val="Noto Sans CJK SC"/>
        <family val="2"/>
      </rPr>
      <t>行</t>
    </r>
  </si>
  <si>
    <t>上传球队简介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</si>
  <si>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199</t>
    </r>
    <r>
      <rPr>
        <sz val="10"/>
        <rFont val="Noto Sans CJK SC"/>
        <family val="2"/>
      </rPr>
      <t>行</t>
    </r>
  </si>
  <si>
    <t>上传球队合照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</si>
  <si>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200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</si>
  <si>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201</t>
    </r>
    <r>
      <rPr>
        <sz val="10"/>
        <rFont val="Noto Sans CJK SC"/>
        <family val="2"/>
      </rPr>
      <t>行</t>
    </r>
  </si>
  <si>
    <t>上传球队队旗，队徽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</si>
  <si>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202</t>
    </r>
    <r>
      <rPr>
        <sz val="10"/>
        <rFont val="Noto Sans CJK SC"/>
        <family val="2"/>
      </rPr>
      <t>行</t>
    </r>
  </si>
  <si>
    <t>球队账号管理</t>
  </si>
  <si>
    <t>重置球队账号密码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</si>
  <si>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203</t>
    </r>
    <r>
      <rPr>
        <sz val="10"/>
        <rFont val="Noto Sans CJK SC"/>
        <family val="2"/>
      </rPr>
      <t>行</t>
    </r>
  </si>
  <si>
    <t>球队信息管理</t>
  </si>
  <si>
    <t>查看系统消息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</si>
  <si>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204</t>
    </r>
    <r>
      <rPr>
        <sz val="10"/>
        <rFont val="Noto Sans CJK SC"/>
        <family val="2"/>
      </rPr>
      <t>行</t>
    </r>
  </si>
  <si>
    <t>球队教练员管理</t>
  </si>
  <si>
    <t>按类别查询球队教练员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</si>
  <si>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205</t>
    </r>
    <r>
      <rPr>
        <sz val="10"/>
        <rFont val="Noto Sans CJK SC"/>
        <family val="2"/>
      </rPr>
      <t>行</t>
    </r>
  </si>
  <si>
    <t>按审核状态搜索球队教练员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</si>
  <si>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206</t>
    </r>
    <r>
      <rPr>
        <sz val="10"/>
        <rFont val="Noto Sans CJK SC"/>
        <family val="2"/>
      </rPr>
      <t>行</t>
    </r>
  </si>
  <si>
    <t>查询球队教练员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</si>
  <si>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207</t>
    </r>
    <r>
      <rPr>
        <sz val="10"/>
        <rFont val="Noto Sans CJK SC"/>
        <family val="2"/>
      </rPr>
      <t>行</t>
    </r>
  </si>
  <si>
    <t>添加球队教练员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</si>
  <si>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208</t>
    </r>
    <r>
      <rPr>
        <sz val="10"/>
        <rFont val="Noto Sans CJK SC"/>
        <family val="2"/>
      </rPr>
      <t>行</t>
    </r>
  </si>
  <si>
    <t>删除球队教练员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</si>
  <si>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209</t>
    </r>
    <r>
      <rPr>
        <sz val="10"/>
        <rFont val="Noto Sans CJK SC"/>
        <family val="2"/>
      </rPr>
      <t>行</t>
    </r>
  </si>
  <si>
    <t>管理员端</t>
  </si>
  <si>
    <t>管理员球员管理</t>
  </si>
  <si>
    <t>球员管理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</si>
  <si>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210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</si>
  <si>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211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</si>
  <si>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212</t>
    </r>
    <r>
      <rPr>
        <sz val="10"/>
        <rFont val="Noto Sans CJK SC"/>
        <family val="2"/>
      </rPr>
      <t>行</t>
    </r>
  </si>
  <si>
    <t>重置球员账号密码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</si>
  <si>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213</t>
    </r>
    <r>
      <rPr>
        <sz val="10"/>
        <rFont val="Noto Sans CJK SC"/>
        <family val="2"/>
      </rPr>
      <t>行</t>
    </r>
  </si>
  <si>
    <t>公示球员信息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</si>
  <si>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214</t>
    </r>
    <r>
      <rPr>
        <sz val="10"/>
        <rFont val="Noto Sans CJK SC"/>
        <family val="2"/>
      </rPr>
      <t>行</t>
    </r>
  </si>
  <si>
    <t>取消公示球员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</si>
  <si>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215</t>
    </r>
    <r>
      <rPr>
        <sz val="10"/>
        <rFont val="Noto Sans CJK SC"/>
        <family val="2"/>
      </rPr>
      <t>行</t>
    </r>
  </si>
  <si>
    <t>修改球员信息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</si>
  <si>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216</t>
    </r>
    <r>
      <rPr>
        <sz val="10"/>
        <rFont val="Noto Sans CJK SC"/>
        <family val="2"/>
      </rPr>
      <t>行</t>
    </r>
  </si>
  <si>
    <t>删除球员信息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</si>
  <si>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217</t>
    </r>
    <r>
      <rPr>
        <sz val="10"/>
        <rFont val="Noto Sans CJK SC"/>
        <family val="2"/>
      </rPr>
      <t>行</t>
    </r>
  </si>
  <si>
    <t>管理员教练员管理</t>
  </si>
  <si>
    <t>教练员信息管理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</si>
  <si>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218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</si>
  <si>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219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</si>
  <si>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220</t>
    </r>
    <r>
      <rPr>
        <sz val="10"/>
        <rFont val="Noto Sans CJK SC"/>
        <family val="2"/>
      </rPr>
      <t>行</t>
    </r>
  </si>
  <si>
    <t>公示教练员信息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</si>
  <si>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221</t>
    </r>
    <r>
      <rPr>
        <sz val="10"/>
        <rFont val="Noto Sans CJK SC"/>
        <family val="2"/>
      </rPr>
      <t>行</t>
    </r>
  </si>
  <si>
    <t>取消公示教练员信息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</si>
  <si>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222</t>
    </r>
    <r>
      <rPr>
        <sz val="10"/>
        <rFont val="Noto Sans CJK SC"/>
        <family val="2"/>
      </rPr>
      <t>行</t>
    </r>
  </si>
  <si>
    <t>重置教练员密码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</si>
  <si>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223</t>
    </r>
    <r>
      <rPr>
        <sz val="10"/>
        <rFont val="Noto Sans CJK SC"/>
        <family val="2"/>
      </rPr>
      <t>行</t>
    </r>
  </si>
  <si>
    <t>删除教练员信息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</si>
  <si>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224</t>
    </r>
    <r>
      <rPr>
        <sz val="10"/>
        <rFont val="Noto Sans CJK SC"/>
        <family val="2"/>
      </rPr>
      <t>行</t>
    </r>
  </si>
  <si>
    <t>修改教练员信息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</si>
  <si>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225</t>
    </r>
    <r>
      <rPr>
        <sz val="10"/>
        <rFont val="Noto Sans CJK SC"/>
        <family val="2"/>
      </rPr>
      <t>行</t>
    </r>
  </si>
  <si>
    <t>参赛管理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</si>
  <si>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226</t>
    </r>
    <r>
      <rPr>
        <sz val="10"/>
        <rFont val="Noto Sans CJK SC"/>
        <family val="2"/>
      </rPr>
      <t>行</t>
    </r>
  </si>
  <si>
    <t>按市州查看球队信息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</si>
  <si>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227</t>
    </r>
    <r>
      <rPr>
        <sz val="10"/>
        <rFont val="Noto Sans CJK SC"/>
        <family val="2"/>
      </rPr>
      <t>行</t>
    </r>
  </si>
  <si>
    <t>按赛事类别查看球队信息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</si>
  <si>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228</t>
    </r>
    <r>
      <rPr>
        <sz val="10"/>
        <rFont val="Noto Sans CJK SC"/>
        <family val="2"/>
      </rPr>
      <t>行</t>
    </r>
  </si>
  <si>
    <t>按球队名称搜索球队信息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</si>
  <si>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229</t>
    </r>
    <r>
      <rPr>
        <sz val="10"/>
        <rFont val="Noto Sans CJK SC"/>
        <family val="2"/>
      </rPr>
      <t>行</t>
    </r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</si>
  <si>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230</t>
    </r>
    <r>
      <rPr>
        <sz val="10"/>
        <rFont val="Noto Sans CJK SC"/>
        <family val="2"/>
      </rPr>
      <t>行</t>
    </r>
  </si>
  <si>
    <t>查看球队成员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</si>
  <si>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231</t>
    </r>
    <r>
      <rPr>
        <sz val="10"/>
        <rFont val="Noto Sans CJK SC"/>
        <family val="2"/>
      </rPr>
      <t>行</t>
    </r>
  </si>
  <si>
    <t>查看球队教练员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</si>
  <si>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232</t>
    </r>
    <r>
      <rPr>
        <sz val="10"/>
        <rFont val="Noto Sans CJK SC"/>
        <family val="2"/>
      </rPr>
      <t>行</t>
    </r>
  </si>
  <si>
    <t>查看球队比赛记录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</si>
  <si>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233</t>
    </r>
    <r>
      <rPr>
        <sz val="10"/>
        <rFont val="Noto Sans CJK SC"/>
        <family val="2"/>
      </rPr>
      <t>行</t>
    </r>
  </si>
  <si>
    <t>球员遴选档案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</si>
  <si>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234</t>
    </r>
    <r>
      <rPr>
        <sz val="10"/>
        <rFont val="Noto Sans CJK SC"/>
        <family val="2"/>
      </rPr>
      <t>行</t>
    </r>
  </si>
  <si>
    <t>按身份证号搜索球员档案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</si>
  <si>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235</t>
    </r>
    <r>
      <rPr>
        <sz val="10"/>
        <rFont val="Noto Sans CJK SC"/>
        <family val="2"/>
      </rPr>
      <t>行</t>
    </r>
  </si>
  <si>
    <t>按队伍搜索球员档案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</si>
  <si>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236</t>
    </r>
    <r>
      <rPr>
        <sz val="10"/>
        <rFont val="Noto Sans CJK SC"/>
        <family val="2"/>
      </rPr>
      <t>行</t>
    </r>
  </si>
  <si>
    <t>遴选管理</t>
  </si>
  <si>
    <t>足球遴选队员初选档案评分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</si>
  <si>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237</t>
    </r>
    <r>
      <rPr>
        <sz val="10"/>
        <rFont val="Noto Sans CJK SC"/>
        <family val="2"/>
      </rPr>
      <t>行</t>
    </r>
  </si>
  <si>
    <t>足球遴选队员初选评分修改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</si>
  <si>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238</t>
    </r>
    <r>
      <rPr>
        <sz val="10"/>
        <rFont val="Noto Sans CJK SC"/>
        <family val="2"/>
      </rPr>
      <t>行</t>
    </r>
  </si>
  <si>
    <t>足球遴选队员初选评分汇总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</si>
  <si>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239</t>
    </r>
    <r>
      <rPr>
        <sz val="10"/>
        <rFont val="Noto Sans CJK SC"/>
        <family val="2"/>
      </rPr>
      <t>行</t>
    </r>
  </si>
  <si>
    <t>足球遴选队员初选评分导出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</si>
  <si>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240</t>
    </r>
    <r>
      <rPr>
        <sz val="10"/>
        <rFont val="Noto Sans CJK SC"/>
        <family val="2"/>
      </rPr>
      <t>行</t>
    </r>
  </si>
  <si>
    <t>足球遴选队员复选档案评分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</si>
  <si>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241</t>
    </r>
    <r>
      <rPr>
        <sz val="10"/>
        <rFont val="Noto Sans CJK SC"/>
        <family val="2"/>
      </rPr>
      <t>行</t>
    </r>
  </si>
  <si>
    <t>足球遴选队员复选评分修改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</si>
  <si>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242</t>
    </r>
    <r>
      <rPr>
        <sz val="10"/>
        <rFont val="Noto Sans CJK SC"/>
        <family val="2"/>
      </rPr>
      <t>行</t>
    </r>
  </si>
  <si>
    <t>足球遴选队员复选评分汇总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</si>
  <si>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243</t>
    </r>
    <r>
      <rPr>
        <sz val="10"/>
        <rFont val="Noto Sans CJK SC"/>
        <family val="2"/>
      </rPr>
      <t>行</t>
    </r>
  </si>
  <si>
    <t>足球遴选队员复选评分导出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</si>
  <si>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244</t>
    </r>
    <r>
      <rPr>
        <sz val="10"/>
        <rFont val="Noto Sans CJK SC"/>
        <family val="2"/>
      </rPr>
      <t>行</t>
    </r>
  </si>
  <si>
    <t>最佳球员遴选结果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</si>
  <si>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245</t>
    </r>
    <r>
      <rPr>
        <sz val="10"/>
        <rFont val="Noto Sans CJK SC"/>
        <family val="2"/>
      </rPr>
      <t>行</t>
    </r>
  </si>
  <si>
    <t>生成高校组最佳球员遴选结果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</si>
  <si>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246</t>
    </r>
    <r>
      <rPr>
        <sz val="10"/>
        <rFont val="Noto Sans CJK SC"/>
        <family val="2"/>
      </rPr>
      <t>行</t>
    </r>
  </si>
  <si>
    <t>生成中学组最佳球员遴选结果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</si>
  <si>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247</t>
    </r>
    <r>
      <rPr>
        <sz val="10"/>
        <rFont val="Noto Sans CJK SC"/>
        <family val="2"/>
      </rPr>
      <t>行</t>
    </r>
  </si>
  <si>
    <t>生成小学组最佳球员遴选结果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</si>
  <si>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248</t>
    </r>
    <r>
      <rPr>
        <sz val="10"/>
        <rFont val="Noto Sans CJK SC"/>
        <family val="2"/>
      </rPr>
      <t>行</t>
    </r>
  </si>
  <si>
    <t>日志管理</t>
  </si>
  <si>
    <t>用户操作日志表单信息</t>
  </si>
  <si>
    <r>
      <rPr>
        <sz val="10"/>
        <rFont val="Noto Sans CJK SC"/>
        <family val="2"/>
      </rPr>
      <t>第</t>
    </r>
    <r>
      <rPr>
        <sz val="10"/>
        <rFont val="Arial"/>
        <family val="2"/>
      </rPr>
      <t>249</t>
    </r>
    <r>
      <rPr>
        <sz val="10"/>
        <rFont val="Noto Sans CJK SC"/>
        <family val="2"/>
      </rPr>
      <t>行</t>
    </r>
  </si>
  <si>
    <t>查看用户操作日志信息</t>
  </si>
  <si>
    <r>
      <rPr>
        <b/>
        <sz val="14"/>
        <rFont val="Noto Sans CJK SC"/>
        <family val="2"/>
      </rPr>
      <t>风险、</t>
    </r>
    <r>
      <rPr>
        <b/>
        <sz val="14"/>
        <rFont val="Arial"/>
        <family val="2"/>
      </rPr>
      <t>D1</t>
    </r>
    <r>
      <rPr>
        <b/>
        <sz val="14"/>
        <rFont val="Noto Sans CJK SC"/>
        <family val="2"/>
      </rPr>
      <t>必须确认的事与降级清单</t>
    </r>
  </si>
  <si>
    <r>
      <rPr>
        <sz val="10"/>
        <color rgb="FF595959"/>
        <rFont val="Arial"/>
        <family val="2"/>
      </rPr>
      <t>10</t>
    </r>
    <r>
      <rPr>
        <sz val="10"/>
        <color rgb="FF595959"/>
        <rFont val="Noto Sans CJK SC"/>
        <family val="2"/>
      </rPr>
      <t>天没有缓冲，砍的顺序要事先定好，而不是临时决定</t>
    </r>
  </si>
  <si>
    <r>
      <rPr>
        <b/>
        <sz val="11"/>
        <rFont val="Noto Sans CJK SC"/>
        <family val="2"/>
      </rPr>
      <t>一、</t>
    </r>
    <r>
      <rPr>
        <b/>
        <sz val="11"/>
        <rFont val="Arial"/>
        <family val="2"/>
      </rPr>
      <t>D1</t>
    </r>
    <r>
      <rPr>
        <b/>
        <sz val="11"/>
        <rFont val="Noto Sans CJK SC"/>
        <family val="2"/>
      </rPr>
      <t>当天必须拿到的需求结论（不确认就会返工）</t>
    </r>
  </si>
  <si>
    <t>需要确认什么</t>
  </si>
  <si>
    <r>
      <rPr>
        <b/>
        <sz val="10"/>
        <color rgb="FFFFFFFF"/>
        <rFont val="Noto Sans CJK SC"/>
        <family val="2"/>
      </rPr>
      <t>为什么必须在</t>
    </r>
    <r>
      <rPr>
        <b/>
        <sz val="10"/>
        <color rgb="FFFFFFFF"/>
        <rFont val="Arial"/>
        <family val="2"/>
      </rPr>
      <t>D1</t>
    </r>
    <r>
      <rPr>
        <b/>
        <sz val="10"/>
        <color rgb="FFFFFFFF"/>
        <rFont val="Noto Sans CJK SC"/>
        <family val="2"/>
      </rPr>
      <t>确认</t>
    </r>
  </si>
  <si>
    <t>影响模块</t>
  </si>
  <si>
    <t>确认人</t>
  </si>
  <si>
    <t>遴选评分规则：评分维度、权重、同分处理、初选与复选如何衔接</t>
  </si>
  <si>
    <t>决定评分汇总公式与最佳球员结果生成；原表规则不明确</t>
  </si>
  <si>
    <t>审核层级与驳回重报：球队→市州→省级、高校→省级；驳回后退回哪一级、能否撤回</t>
  </si>
  <si>
    <t>决定审核状态机与记录表结构，是报名主链路核心</t>
  </si>
  <si>
    <r>
      <rPr>
        <sz val="10"/>
        <rFont val="Arial"/>
        <family val="2"/>
      </rPr>
      <t>0.3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4.2</t>
    </r>
  </si>
  <si>
    <t>报名快照：提交后是否冻结；驳回后是否可改</t>
  </si>
  <si>
    <r>
      <rPr>
        <sz val="10"/>
        <rFont val="Noto Sans CJK SC"/>
        <family val="2"/>
      </rPr>
      <t>决定报名与人员档案的数据结构，成员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与成员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必须一致</t>
    </r>
  </si>
  <si>
    <r>
      <rPr>
        <sz val="10"/>
        <rFont val="Arial"/>
        <family val="2"/>
      </rPr>
      <t>4.1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2.1</t>
    </r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</si>
  <si>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4</t>
    </r>
  </si>
  <si>
    <t>公示范围：哪些字段可公开、身份证如何脱敏</t>
  </si>
  <si>
    <t>涉及未成年人信息，公示与门户页要用同一份白名单</t>
  </si>
  <si>
    <r>
      <rPr>
        <sz val="10"/>
        <rFont val="Arial"/>
        <family val="2"/>
      </rPr>
      <t>7.3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0.8</t>
    </r>
  </si>
  <si>
    <t>人脸核验是否必须接第三方识别，有无现成服务与授权协议</t>
  </si>
  <si>
    <r>
      <rPr>
        <sz val="10"/>
        <rFont val="Noto Sans CJK SC"/>
        <family val="2"/>
      </rPr>
      <t>决定是做“识别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人工复核”还是“拍照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人工确认”</t>
    </r>
  </si>
  <si>
    <t>政策问答：是否已有正式政策文本；使用哪家大模型、是否允许外发</t>
  </si>
  <si>
    <r>
      <rPr>
        <sz val="10"/>
        <rFont val="Noto Sans CJK SC"/>
        <family val="2"/>
      </rPr>
      <t>决定</t>
    </r>
    <r>
      <rPr>
        <sz val="10"/>
        <rFont val="Arial"/>
        <family val="2"/>
      </rPr>
      <t>8.1</t>
    </r>
    <r>
      <rPr>
        <sz val="10"/>
        <rFont val="Noto Sans CJK SC"/>
        <family val="2"/>
      </rPr>
      <t>能否做，以及密钥与合规处理</t>
    </r>
  </si>
  <si>
    <r>
      <rPr>
        <sz val="10"/>
        <rFont val="Noto Sans CJK SC"/>
        <family val="2"/>
      </rPr>
      <t>部署环境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自有服务器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云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、域名、</t>
    </r>
    <r>
      <rPr>
        <sz val="10"/>
        <rFont val="Arial"/>
        <family val="2"/>
      </rPr>
      <t>HTTPS</t>
    </r>
    <r>
      <rPr>
        <sz val="10"/>
        <rFont val="Noto Sans CJK SC"/>
        <family val="2"/>
      </rPr>
      <t>与文件存放位置</t>
    </r>
  </si>
  <si>
    <r>
      <rPr>
        <sz val="10"/>
        <rFont val="Noto Sans CJK SC"/>
        <family val="2"/>
      </rPr>
      <t>决定</t>
    </r>
    <r>
      <rPr>
        <sz val="10"/>
        <rFont val="Arial"/>
        <family val="2"/>
      </rPr>
      <t>D8–D10</t>
    </r>
    <r>
      <rPr>
        <sz val="10"/>
        <rFont val="Noto Sans CJK SC"/>
        <family val="2"/>
      </rPr>
      <t>的部署与备份方案</t>
    </r>
  </si>
  <si>
    <r>
      <rPr>
        <sz val="10"/>
        <rFont val="Arial"/>
        <family val="2"/>
      </rPr>
      <t>0.8</t>
    </r>
    <r>
      <rPr>
        <sz val="10"/>
        <rFont val="Noto Sans CJK SC"/>
        <family val="2"/>
      </rPr>
      <t>、联调</t>
    </r>
  </si>
  <si>
    <r>
      <rPr>
        <b/>
        <sz val="11"/>
        <rFont val="Noto Sans CJK SC"/>
        <family val="2"/>
      </rPr>
      <t>二、降级清单（先砍深度，不砍功能；</t>
    </r>
    <r>
      <rPr>
        <b/>
        <sz val="11"/>
        <rFont val="Arial"/>
        <family val="2"/>
      </rPr>
      <t>D5</t>
    </r>
    <r>
      <rPr>
        <b/>
        <sz val="11"/>
        <rFont val="Noto Sans CJK SC"/>
        <family val="2"/>
      </rPr>
      <t>检查点如</t>
    </r>
    <r>
      <rPr>
        <b/>
        <sz val="11"/>
        <rFont val="Arial"/>
        <family val="2"/>
      </rPr>
      <t>P0</t>
    </r>
    <r>
      <rPr>
        <b/>
        <sz val="11"/>
        <rFont val="Noto Sans CJK SC"/>
        <family val="2"/>
      </rPr>
      <t>落后，按顺序执行）</t>
    </r>
  </si>
  <si>
    <t>顺序</t>
  </si>
  <si>
    <t>降级对象</t>
  </si>
  <si>
    <t>怎么降</t>
  </si>
  <si>
    <t>原功能是否保留</t>
  </si>
  <si>
    <t>负责人</t>
  </si>
  <si>
    <r>
      <rPr>
        <sz val="10"/>
        <rFont val="Noto Sans CJK SC"/>
        <family val="2"/>
      </rPr>
      <t>政策与报名问答</t>
    </r>
    <r>
      <rPr>
        <sz val="10"/>
        <rFont val="Arial"/>
        <family val="2"/>
      </rPr>
      <t>(8.1)</t>
    </r>
  </si>
  <si>
    <r>
      <rPr>
        <sz val="10"/>
        <rFont val="Noto Sans CJK SC"/>
        <family val="2"/>
      </rPr>
      <t>整项暂停，不属于原</t>
    </r>
    <r>
      <rPr>
        <sz val="10"/>
        <rFont val="Arial"/>
        <family val="2"/>
      </rPr>
      <t>244</t>
    </r>
    <r>
      <rPr>
        <sz val="10"/>
        <rFont val="Noto Sans CJK SC"/>
        <family val="2"/>
      </rPr>
      <t>条功能；先砍它，成员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与成员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的时间回流到主链路</t>
    </r>
  </si>
  <si>
    <t>不涉及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</si>
  <si>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6</t>
    </r>
  </si>
  <si>
    <r>
      <rPr>
        <sz val="10"/>
        <rFont val="Noto Sans CJK SC"/>
        <family val="2"/>
      </rPr>
      <t>人脸核验</t>
    </r>
    <r>
      <rPr>
        <sz val="10"/>
        <rFont val="Arial"/>
        <family val="2"/>
      </rPr>
      <t>(5.6)</t>
    </r>
  </si>
  <si>
    <r>
      <rPr>
        <sz val="10"/>
        <rFont val="Noto Sans CJK SC"/>
        <family val="2"/>
      </rPr>
      <t>降为“现场拍照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人工确认”，不接第三方识别，记录保留</t>
    </r>
  </si>
  <si>
    <r>
      <rPr>
        <sz val="10"/>
        <rFont val="Noto Sans CJK SC"/>
        <family val="2"/>
      </rPr>
      <t>保留</t>
    </r>
    <r>
      <rPr>
        <sz val="10"/>
        <rFont val="Arial"/>
        <family val="2"/>
      </rPr>
      <t>(L3)</t>
    </r>
  </si>
  <si>
    <r>
      <rPr>
        <sz val="10"/>
        <rFont val="Noto Sans CJK SC"/>
        <family val="2"/>
      </rPr>
      <t>图文直播</t>
    </r>
    <r>
      <rPr>
        <sz val="10"/>
        <rFont val="Arial"/>
        <family val="2"/>
      </rPr>
      <t>(5.4)</t>
    </r>
  </si>
  <si>
    <t>短轮询，不做实时推送；直播链接管理照常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</si>
  <si>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5</t>
    </r>
  </si>
  <si>
    <r>
      <rPr>
        <sz val="10"/>
        <rFont val="Noto Sans CJK SC"/>
        <family val="2"/>
      </rPr>
      <t>门户视觉与手机适配</t>
    </r>
    <r>
      <rPr>
        <sz val="10"/>
        <rFont val="Arial"/>
        <family val="2"/>
      </rPr>
      <t>(7.1/7.2)</t>
    </r>
  </si>
  <si>
    <t>直接套模板，不做定制视觉；手机端做到“能看”</t>
  </si>
  <si>
    <t>保留</t>
  </si>
  <si>
    <r>
      <rPr>
        <sz val="10"/>
        <rFont val="Noto Sans CJK SC"/>
        <family val="2"/>
      </rPr>
      <t>站内信与日志</t>
    </r>
    <r>
      <rPr>
        <sz val="10"/>
        <rFont val="Arial"/>
        <family val="2"/>
      </rPr>
      <t>(0.5/0.6)</t>
    </r>
  </si>
  <si>
    <t>站内信打开页面时拉取；日志只做记录与查询</t>
  </si>
  <si>
    <r>
      <rPr>
        <sz val="10"/>
        <rFont val="Noto Sans CJK SC"/>
        <family val="2"/>
      </rPr>
      <t>保留</t>
    </r>
    <r>
      <rPr>
        <sz val="10"/>
        <rFont val="Arial"/>
        <family val="2"/>
      </rPr>
      <t>(L3/L2)</t>
    </r>
  </si>
  <si>
    <r>
      <rPr>
        <sz val="10"/>
        <rFont val="Noto Sans CJK SC"/>
        <family val="2"/>
      </rPr>
      <t>导出</t>
    </r>
    <r>
      <rPr>
        <sz val="10"/>
        <rFont val="Arial"/>
        <family val="2"/>
      </rPr>
      <t>(4.4)</t>
    </r>
  </si>
  <si>
    <t>统一同步导出，不做异步任务</t>
  </si>
  <si>
    <r>
      <rPr>
        <sz val="10"/>
        <rFont val="Noto Sans CJK SC"/>
        <family val="2"/>
      </rPr>
      <t>赛事文件</t>
    </r>
    <r>
      <rPr>
        <sz val="10"/>
        <rFont val="Arial"/>
        <family val="2"/>
      </rPr>
      <t>(5.3)</t>
    </r>
    <r>
      <rPr>
        <sz val="10"/>
        <rFont val="Noto Sans CJK SC"/>
        <family val="2"/>
      </rPr>
      <t>与门户展示资源</t>
    </r>
    <r>
      <rPr>
        <sz val="10"/>
        <rFont val="Arial"/>
        <family val="2"/>
      </rPr>
      <t>(7.2)</t>
    </r>
  </si>
  <si>
    <t>只做上传与列表，不做额外校验与排序</t>
  </si>
  <si>
    <r>
      <rPr>
        <sz val="10"/>
        <rFont val="Noto Sans CJK SC"/>
        <family val="2"/>
      </rPr>
      <t>保留</t>
    </r>
    <r>
      <rPr>
        <sz val="10"/>
        <rFont val="Arial"/>
        <family val="2"/>
      </rPr>
      <t>(P2)</t>
    </r>
  </si>
  <si>
    <r>
      <rPr>
        <sz val="10"/>
        <rFont val="Noto Sans CJK SC"/>
        <family val="2"/>
      </rPr>
      <t>遴选评分</t>
    </r>
    <r>
      <rPr>
        <sz val="10"/>
        <rFont val="Arial"/>
        <family val="2"/>
      </rPr>
      <t>(6.2)</t>
    </r>
  </si>
  <si>
    <t>固定加权平均公式，不做公式可配置</t>
  </si>
  <si>
    <r>
      <rPr>
        <b/>
        <sz val="11"/>
        <rFont val="Noto Sans CJK SC"/>
        <family val="2"/>
      </rPr>
      <t>三、明确不在</t>
    </r>
    <r>
      <rPr>
        <b/>
        <sz val="11"/>
        <rFont val="Arial"/>
        <family val="2"/>
      </rPr>
      <t>10</t>
    </r>
    <r>
      <rPr>
        <b/>
        <sz val="11"/>
        <rFont val="Noto Sans CJK SC"/>
        <family val="2"/>
      </rPr>
      <t>天内做（放二期）</t>
    </r>
  </si>
  <si>
    <t>事项</t>
  </si>
  <si>
    <t>说明</t>
  </si>
  <si>
    <t>来源</t>
  </si>
  <si>
    <r>
      <rPr>
        <sz val="10"/>
        <rFont val="Noto Sans CJK SC"/>
        <family val="2"/>
      </rPr>
      <t>压测</t>
    </r>
    <r>
      <rPr>
        <sz val="10"/>
        <rFont val="Arial"/>
        <family val="2"/>
      </rPr>
      <t>(3</t>
    </r>
    <r>
      <rPr>
        <sz val="10"/>
        <rFont val="Noto Sans CJK SC"/>
        <family val="2"/>
      </rPr>
      <t>倍预估并发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、等保、漏洞扫描</t>
    </r>
  </si>
  <si>
    <r>
      <rPr>
        <sz val="10"/>
        <rFont val="Arial"/>
        <family val="2"/>
      </rPr>
      <t>10</t>
    </r>
    <r>
      <rPr>
        <sz val="10"/>
        <rFont val="Noto Sans CJK SC"/>
        <family val="2"/>
      </rPr>
      <t>天内只做报名提交</t>
    </r>
    <r>
      <rPr>
        <sz val="10"/>
        <rFont val="Arial"/>
        <family val="2"/>
      </rPr>
      <t>50</t>
    </r>
    <r>
      <rPr>
        <sz val="10"/>
        <rFont val="Noto Sans CJK SC"/>
        <family val="2"/>
      </rPr>
      <t>并发冒烟与安全最小集</t>
    </r>
  </si>
  <si>
    <r>
      <rPr>
        <sz val="10"/>
        <rFont val="Arial"/>
        <family val="2"/>
      </rPr>
      <t>V1 A12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A13</t>
    </r>
  </si>
  <si>
    <r>
      <rPr>
        <sz val="10"/>
        <rFont val="Noto Sans CJK SC"/>
        <family val="2"/>
      </rPr>
      <t>材料识别</t>
    </r>
    <r>
      <rPr>
        <sz val="10"/>
        <rFont val="Arial"/>
        <family val="2"/>
      </rPr>
      <t>(OCR+</t>
    </r>
    <r>
      <rPr>
        <sz val="10"/>
        <rFont val="Noto Sans CJK SC"/>
        <family val="2"/>
      </rPr>
      <t>大模型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与报名材料智能预审</t>
    </r>
  </si>
  <si>
    <t>预审先用规则校验替代</t>
  </si>
  <si>
    <r>
      <rPr>
        <sz val="10"/>
        <rFont val="Arial"/>
        <family val="2"/>
      </rPr>
      <t>V1 B14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C13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C14</t>
    </r>
  </si>
  <si>
    <r>
      <rPr>
        <sz val="10"/>
        <rFont val="Noto Sans CJK SC"/>
        <family val="2"/>
      </rPr>
      <t>导入智能映射、战报与直播文案、智能问数、遴选摘要、</t>
    </r>
    <r>
      <rPr>
        <sz val="10"/>
        <rFont val="Arial"/>
        <family val="2"/>
      </rPr>
      <t>CMS</t>
    </r>
    <r>
      <rPr>
        <sz val="10"/>
        <rFont val="Noto Sans CJK SC"/>
        <family val="2"/>
      </rPr>
      <t>写作辅助</t>
    </r>
  </si>
  <si>
    <r>
      <rPr>
        <sz val="10"/>
        <rFont val="Noto Sans CJK SC"/>
        <family val="2"/>
      </rPr>
      <t>均不属于原</t>
    </r>
    <r>
      <rPr>
        <sz val="10"/>
        <rFont val="Arial"/>
        <family val="2"/>
      </rPr>
      <t>244</t>
    </r>
    <r>
      <rPr>
        <sz val="10"/>
        <rFont val="Noto Sans CJK SC"/>
        <family val="2"/>
      </rPr>
      <t>条功能</t>
    </r>
  </si>
  <si>
    <r>
      <rPr>
        <sz val="10"/>
        <rFont val="Arial"/>
        <family val="2"/>
      </rPr>
      <t>V1 B15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D10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D11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E13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E14</t>
    </r>
  </si>
  <si>
    <t>公示期自动下线与异议入口、评委独立角色、审核流程可视化配置、动态表单设计器</t>
  </si>
  <si>
    <t>原表没有，或属于过度设计</t>
  </si>
  <si>
    <r>
      <rPr>
        <sz val="10"/>
        <rFont val="Arial"/>
        <family val="2"/>
      </rPr>
      <t>V1 E03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E05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A09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C05</t>
    </r>
  </si>
  <si>
    <r>
      <rPr>
        <sz val="10"/>
        <rFont val="Noto Sans CJK SC"/>
        <family val="2"/>
      </rPr>
      <t>短信通知、</t>
    </r>
    <r>
      <rPr>
        <sz val="10"/>
        <rFont val="Arial"/>
        <family val="2"/>
      </rPr>
      <t>WebSocket</t>
    </r>
    <r>
      <rPr>
        <sz val="10"/>
        <rFont val="Noto Sans CJK SC"/>
        <family val="2"/>
      </rPr>
      <t>实时推送、异步导出</t>
    </r>
  </si>
  <si>
    <r>
      <rPr>
        <sz val="10"/>
        <rFont val="Arial"/>
        <family val="2"/>
      </rPr>
      <t>10</t>
    </r>
    <r>
      <rPr>
        <sz val="10"/>
        <rFont val="Noto Sans CJK SC"/>
        <family val="2"/>
      </rPr>
      <t>天内用站内信、短轮询、同步导出替代</t>
    </r>
  </si>
  <si>
    <r>
      <rPr>
        <sz val="10"/>
        <rFont val="Arial"/>
        <family val="2"/>
      </rPr>
      <t>V1 A11</t>
    </r>
    <r>
      <rPr>
        <sz val="10"/>
        <rFont val="Noto Sans CJK SC"/>
        <family val="2"/>
      </rPr>
      <t>、</t>
    </r>
    <r>
      <rPr>
        <sz val="10"/>
        <rFont val="Arial"/>
        <family val="2"/>
      </rPr>
      <t>D05</t>
    </r>
  </si>
  <si>
    <t>四、主要风险与应对</t>
  </si>
  <si>
    <t>风险</t>
  </si>
  <si>
    <t>应对措施</t>
  </si>
  <si>
    <t>影响</t>
  </si>
  <si>
    <t>组长是唯一前端且零缓冲</t>
  </si>
  <si>
    <r>
      <rPr>
        <sz val="10"/>
        <rFont val="Noto Sans CJK SC"/>
        <family val="2"/>
      </rPr>
      <t>手写页限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类；标准页由后端生成器自出；门户</t>
    </r>
    <r>
      <rPr>
        <sz val="10"/>
        <rFont val="Arial"/>
        <family val="2"/>
      </rPr>
      <t>/CMS/</t>
    </r>
    <r>
      <rPr>
        <sz val="10"/>
        <rFont val="Noto Sans CJK SC"/>
        <family val="2"/>
      </rPr>
      <t>遴选页交成员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；组长不做调度；</t>
    </r>
    <r>
      <rPr>
        <sz val="10"/>
        <rFont val="Arial"/>
        <family val="2"/>
      </rPr>
      <t>D4</t>
    </r>
    <r>
      <rPr>
        <sz val="10"/>
        <rFont val="Noto Sans CJK SC"/>
        <family val="2"/>
      </rPr>
      <t>仍落后时，成员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暂停遴选页转帮报名与审核列表页</t>
    </r>
  </si>
  <si>
    <t>报名与审核页延误会卡住联调</t>
  </si>
  <si>
    <t>没有可复用的后台脚手架</t>
  </si>
  <si>
    <r>
      <rPr>
        <sz val="10"/>
        <rFont val="Arial"/>
        <family val="2"/>
      </rPr>
      <t>D1</t>
    </r>
    <r>
      <rPr>
        <sz val="10"/>
        <rFont val="Noto Sans CJK SC"/>
        <family val="2"/>
      </rPr>
      <t>前定下脚手架；若没有，</t>
    </r>
    <r>
      <rPr>
        <sz val="10"/>
        <rFont val="Arial"/>
        <family val="2"/>
      </rPr>
      <t>10</t>
    </r>
    <r>
      <rPr>
        <sz val="10"/>
        <rFont val="Noto Sans CJK SC"/>
        <family val="2"/>
      </rPr>
      <t>天不成立，应先拆成两期，第一期只做</t>
    </r>
    <r>
      <rPr>
        <sz val="10"/>
        <rFont val="Arial"/>
        <family val="2"/>
      </rPr>
      <t>P0</t>
    </r>
  </si>
  <si>
    <t>整体不可行</t>
  </si>
  <si>
    <r>
      <rPr>
        <sz val="10"/>
        <rFont val="Noto Sans CJK SC"/>
        <family val="2"/>
      </rPr>
      <t>底座延迟</t>
    </r>
    <r>
      <rPr>
        <sz val="10"/>
        <rFont val="Arial"/>
        <family val="2"/>
      </rPr>
      <t>(D1–D4)</t>
    </r>
  </si>
  <si>
    <r>
      <rPr>
        <sz val="10"/>
        <rFont val="Noto Sans CJK SC"/>
        <family val="2"/>
      </rPr>
      <t>脚手架自带登录先用；文件服务</t>
    </r>
    <r>
      <rPr>
        <sz val="10"/>
        <rFont val="Arial"/>
        <family val="2"/>
      </rPr>
      <t>D2</t>
    </r>
    <r>
      <rPr>
        <sz val="10"/>
        <rFont val="Noto Sans CJK SC"/>
        <family val="2"/>
      </rPr>
      <t>交付；其余人用</t>
    </r>
    <r>
      <rPr>
        <sz val="10"/>
        <rFont val="Arial"/>
        <family val="2"/>
      </rPr>
      <t>Mock+</t>
    </r>
    <r>
      <rPr>
        <sz val="10"/>
        <rFont val="Noto Sans CJK SC"/>
        <family val="2"/>
      </rPr>
      <t>种子数据并行，接口契约先行</t>
    </r>
  </si>
  <si>
    <t>全员等待</t>
  </si>
  <si>
    <t>人员主档与报名快照模型对不上</t>
  </si>
  <si>
    <r>
      <rPr>
        <sz val="10"/>
        <rFont val="Arial"/>
        <family val="2"/>
      </rPr>
      <t>D1</t>
    </r>
    <r>
      <rPr>
        <sz val="10"/>
        <rFont val="Noto Sans CJK SC"/>
        <family val="2"/>
      </rPr>
      <t>用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小时评审</t>
    </r>
    <r>
      <rPr>
        <sz val="10"/>
        <rFont val="Arial"/>
        <family val="2"/>
      </rPr>
      <t>ER</t>
    </r>
    <r>
      <rPr>
        <sz val="10"/>
        <rFont val="Noto Sans CJK SC"/>
        <family val="2"/>
      </rPr>
      <t>总图；身份证为唯一键，报名提交冻结快照</t>
    </r>
  </si>
  <si>
    <t>后期大面积返工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</si>
  <si>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、成员</t>
    </r>
    <r>
      <rPr>
        <sz val="10"/>
        <rFont val="Arial"/>
        <family val="2"/>
      </rPr>
      <t>4</t>
    </r>
  </si>
  <si>
    <t>报名截止日并发</t>
  </si>
  <si>
    <r>
      <rPr>
        <sz val="10"/>
        <rFont val="Noto Sans CJK SC"/>
        <family val="2"/>
      </rPr>
      <t>提交接口幂等</t>
    </r>
    <r>
      <rPr>
        <sz val="10"/>
        <rFont val="Arial"/>
        <family val="2"/>
      </rPr>
      <t>+Nginx</t>
    </r>
    <r>
      <rPr>
        <sz val="10"/>
        <rFont val="Noto Sans CJK SC"/>
        <family val="2"/>
      </rPr>
      <t>限流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关键索引；</t>
    </r>
    <r>
      <rPr>
        <sz val="10"/>
        <rFont val="Arial"/>
        <family val="2"/>
      </rPr>
      <t>D9</t>
    </r>
    <r>
      <rPr>
        <sz val="10"/>
        <rFont val="Noto Sans CJK SC"/>
        <family val="2"/>
      </rPr>
      <t>做</t>
    </r>
    <r>
      <rPr>
        <sz val="10"/>
        <rFont val="Arial"/>
        <family val="2"/>
      </rPr>
      <t>50</t>
    </r>
    <r>
      <rPr>
        <sz val="10"/>
        <rFont val="Noto Sans CJK SC"/>
        <family val="2"/>
      </rPr>
      <t>并发冒烟；正式压测放二期</t>
    </r>
  </si>
  <si>
    <t>系统卡顿或丢数据</t>
  </si>
  <si>
    <r>
      <rPr>
        <sz val="10"/>
        <rFont val="Noto Sans CJK SC"/>
        <family val="2"/>
      </rPr>
      <t>成员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、成员</t>
    </r>
    <r>
      <rPr>
        <sz val="10"/>
        <rFont val="Arial"/>
        <family val="2"/>
      </rPr>
      <t>2</t>
    </r>
  </si>
  <si>
    <t>需求规则不清</t>
  </si>
  <si>
    <r>
      <rPr>
        <sz val="10"/>
        <rFont val="Arial"/>
        <family val="2"/>
      </rPr>
      <t>D1</t>
    </r>
    <r>
      <rPr>
        <sz val="10"/>
        <rFont val="Noto Sans CJK SC"/>
        <family val="2"/>
      </rPr>
      <t>确认</t>
    </r>
    <r>
      <rPr>
        <sz val="10"/>
        <rFont val="Arial"/>
        <family val="2"/>
      </rPr>
      <t>7</t>
    </r>
    <r>
      <rPr>
        <sz val="10"/>
        <rFont val="Noto Sans CJK SC"/>
        <family val="2"/>
      </rPr>
      <t>项；确认前用可配置默认值，不写死</t>
    </r>
  </si>
  <si>
    <t>返工</t>
  </si>
  <si>
    <r>
      <rPr>
        <sz val="10"/>
        <rFont val="Noto Sans CJK SC"/>
        <family val="2"/>
      </rPr>
      <t>联调拥堵</t>
    </r>
    <r>
      <rPr>
        <sz val="10"/>
        <rFont val="Arial"/>
        <family val="2"/>
      </rPr>
      <t>(D8–D9)</t>
    </r>
  </si>
  <si>
    <t>接口契约先行；每日构建环境；缺陷当天认领；联调清单按三条链路拆分</t>
  </si>
  <si>
    <r>
      <rPr>
        <sz val="10"/>
        <rFont val="Noto Sans CJK SC"/>
        <family val="2"/>
      </rPr>
      <t>缺陷堆积到</t>
    </r>
    <r>
      <rPr>
        <sz val="10"/>
        <rFont val="Arial"/>
        <family val="2"/>
      </rPr>
      <t>D10</t>
    </r>
  </si>
  <si>
    <t>未成年人敏感信息</t>
  </si>
  <si>
    <t>身份证与手机号加密、脱敏展示；文件私有访问；日志脱敏；问答功能不送个人信息</t>
  </si>
  <si>
    <t>合规与安全事件</t>
  </si>
  <si>
    <t>大模型接口不可用或合规未确认</t>
  </si>
  <si>
    <t>服务端保管密钥；超时降级；开关可一键关闭；政策文本均为公开文件</t>
  </si>
  <si>
    <r>
      <rPr>
        <sz val="10"/>
        <rFont val="Noto Sans CJK SC"/>
        <family val="2"/>
      </rPr>
      <t>仅影响</t>
    </r>
    <r>
      <rPr>
        <sz val="10"/>
        <rFont val="Arial"/>
        <family val="2"/>
      </rPr>
      <t>8.1</t>
    </r>
    <r>
      <rPr>
        <sz val="10"/>
        <rFont val="Noto Sans CJK SC"/>
        <family val="2"/>
      </rPr>
      <t>，不影响主流程</t>
    </r>
  </si>
  <si>
    <t>人员请假</t>
  </si>
  <si>
    <r>
      <rPr>
        <sz val="10"/>
        <rFont val="Noto Sans CJK SC"/>
        <family val="2"/>
      </rPr>
      <t>互为备份：成员</t>
    </r>
    <r>
      <rPr>
        <sz val="10"/>
        <rFont val="Arial"/>
        <family val="2"/>
      </rPr>
      <t>2↔</t>
    </r>
    <r>
      <rPr>
        <sz val="10"/>
        <rFont val="Noto Sans CJK SC"/>
        <family val="2"/>
      </rPr>
      <t>成员</t>
    </r>
    <r>
      <rPr>
        <sz val="10"/>
        <rFont val="Arial"/>
        <family val="2"/>
      </rPr>
      <t>3(</t>
    </r>
    <r>
      <rPr>
        <sz val="10"/>
        <rFont val="Noto Sans CJK SC"/>
        <family val="2"/>
      </rPr>
      <t>底座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审核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，成员</t>
    </r>
    <r>
      <rPr>
        <sz val="10"/>
        <rFont val="Arial"/>
        <family val="2"/>
      </rPr>
      <t>4↔</t>
    </r>
    <r>
      <rPr>
        <sz val="10"/>
        <rFont val="Noto Sans CJK SC"/>
        <family val="2"/>
      </rPr>
      <t>成员</t>
    </r>
    <r>
      <rPr>
        <sz val="10"/>
        <rFont val="Arial"/>
        <family val="2"/>
      </rPr>
      <t>6(</t>
    </r>
    <r>
      <rPr>
        <sz val="10"/>
        <rFont val="Noto Sans CJK SC"/>
        <family val="2"/>
      </rPr>
      <t>档案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遴选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，成员</t>
    </r>
    <r>
      <rPr>
        <sz val="10"/>
        <rFont val="Arial"/>
        <family val="2"/>
      </rPr>
      <t>5↔</t>
    </r>
    <r>
      <rPr>
        <sz val="10"/>
        <rFont val="Noto Sans CJK SC"/>
        <family val="2"/>
      </rPr>
      <t>成员</t>
    </r>
    <r>
      <rPr>
        <sz val="10"/>
        <rFont val="Arial"/>
        <family val="2"/>
      </rPr>
      <t>1(</t>
    </r>
    <r>
      <rPr>
        <sz val="10"/>
        <rFont val="Noto Sans CJK SC"/>
        <family val="2"/>
      </rPr>
      <t>赛事录入前后端</t>
    </r>
    <r>
      <rPr>
        <sz val="10"/>
        <rFont val="Arial"/>
        <family val="2"/>
      </rPr>
      <t>)</t>
    </r>
  </si>
  <si>
    <t>关键域无人可接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</si>
</sst>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8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Noto Sans CJK SC"/>
      <family val="2"/>
    </font>
    <font>
      <b/>
      <sz val="14"/>
      <name val="Arial"/>
      <family val="2"/>
    </font>
    <font>
      <sz val="10"/>
      <color rgb="FF595959"/>
      <name val="Noto Sans CJK SC"/>
      <family val="2"/>
    </font>
    <font>
      <sz val="10"/>
      <color rgb="FF595959"/>
      <name val="Arial"/>
      <family val="2"/>
    </font>
    <font>
      <sz val="10"/>
      <name val="Arial"/>
      <family val="2"/>
    </font>
    <font>
      <b/>
      <sz val="11"/>
      <name val="Noto Sans CJK SC"/>
      <family val="2"/>
    </font>
    <font>
      <sz val="10"/>
      <name val="Noto Sans CJK SC"/>
      <family val="2"/>
    </font>
    <font>
      <b/>
      <sz val="11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sz val="9"/>
      <name val="Noto Sans CJK SC"/>
      <family val="2"/>
    </font>
    <font>
      <sz val="9"/>
      <name val="Arial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2"/>
    </font>
    <font>
      <sz val="10"/>
      <color rgb="FF1F3864"/>
      <name val="Noto Sans CJK SC"/>
      <family val="2"/>
    </font>
    <font>
      <sz val="10"/>
      <color rgb="FF1F3864"/>
      <name val="Arial"/>
      <family val="2"/>
    </font>
    <font>
      <sz val="9"/>
      <color rgb="FF7F7F7F"/>
      <name val="Noto Sans CJK SC"/>
      <family val="2"/>
    </font>
    <font>
      <sz val="9"/>
      <color rgb="FF7F7F7F"/>
      <name val="Arial"/>
      <family val="2"/>
    </font>
    <font>
      <sz val="10"/>
      <color rgb="FF0000FF"/>
      <name val="Arial"/>
      <family val="2"/>
    </font>
    <font>
      <sz val="10"/>
      <color rgb="FF8A6516"/>
      <name val="Noto Sans CJK SC"/>
      <family val="2"/>
    </font>
    <font>
      <sz val="10"/>
      <color rgb="FF0000FF"/>
      <name val="Noto Sans CJK SC"/>
      <family val="2"/>
    </font>
    <font>
      <sz val="9"/>
      <color rgb="FF8A6516"/>
      <name val="Noto Sans CJK SC"/>
      <family val="2"/>
    </font>
    <font>
      <sz val="9"/>
      <color rgb="FF8A6516"/>
      <name val="Arial"/>
      <family val="2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8D7D3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4" fillId="0" borderId="0" xfId="0" applyFont="1"/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top" wrapText="1"/>
    </xf>
    <xf numFmtId="0" fontId="5" fillId="0" borderId="0" xfId="0" applyFont="1"/>
    <xf numFmtId="0" fontId="10" fillId="3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13" fillId="0" borderId="1" xfId="0" applyNumberFormat="1" applyFont="1" applyBorder="1" applyAlignment="1">
      <alignment horizontal="center" vertical="top" wrapText="1"/>
    </xf>
    <xf numFmtId="0" fontId="12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vertical="top" wrapText="1"/>
    </xf>
    <xf numFmtId="176" fontId="13" fillId="4" borderId="1" xfId="0" applyNumberFormat="1" applyFont="1" applyFill="1" applyBorder="1" applyAlignment="1">
      <alignment horizontal="center" vertical="top" wrapText="1"/>
    </xf>
    <xf numFmtId="1" fontId="13" fillId="4" borderId="1" xfId="0" applyNumberFormat="1" applyFont="1" applyFill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0" fontId="16" fillId="0" borderId="0" xfId="0" applyFont="1"/>
    <xf numFmtId="0" fontId="13" fillId="4" borderId="1" xfId="0" applyFont="1" applyFill="1" applyBorder="1" applyAlignment="1">
      <alignment horizontal="center" vertical="top" wrapText="1"/>
    </xf>
    <xf numFmtId="0" fontId="18" fillId="0" borderId="1" xfId="0" applyFont="1" applyBorder="1" applyAlignment="1">
      <alignment vertical="top" wrapText="1"/>
    </xf>
    <xf numFmtId="0" fontId="19" fillId="0" borderId="1" xfId="0" applyFont="1" applyBorder="1" applyAlignment="1">
      <alignment vertical="top" wrapText="1"/>
    </xf>
    <xf numFmtId="0" fontId="20" fillId="0" borderId="0" xfId="0" applyFont="1"/>
    <xf numFmtId="0" fontId="13" fillId="0" borderId="1" xfId="0" applyFont="1" applyBorder="1" applyAlignment="1">
      <alignment vertical="top" wrapText="1"/>
    </xf>
    <xf numFmtId="176" fontId="22" fillId="0" borderId="1" xfId="0" applyNumberFormat="1" applyFont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176" fontId="21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3" fillId="6" borderId="1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center" vertical="top" wrapText="1"/>
    </xf>
    <xf numFmtId="49" fontId="13" fillId="6" borderId="1" xfId="0" applyNumberFormat="1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24" fillId="6" borderId="1" xfId="0" applyFont="1" applyFill="1" applyBorder="1" applyAlignment="1">
      <alignment horizontal="center" vertical="top" wrapText="1"/>
    </xf>
    <xf numFmtId="0" fontId="22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vertical="top" wrapText="1"/>
    </xf>
    <xf numFmtId="49" fontId="13" fillId="0" borderId="1" xfId="0" applyNumberFormat="1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25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516"/>
      <rgbColor rgb="FF800080"/>
      <rgbColor rgb="FF008080"/>
      <rgbColor rgb="FFBFBFBF"/>
      <rgbColor rgb="FF7F7F7F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9"/>
  <sheetViews>
    <sheetView zoomScaleNormal="100" workbookViewId="0"/>
  </sheetViews>
  <sheetFormatPr defaultColWidth="8.6328125" defaultRowHeight="14.5"/>
  <cols>
    <col min="1" max="1" width="6" customWidth="1"/>
    <col min="2" max="2" width="130" customWidth="1"/>
  </cols>
  <sheetData>
    <row r="1" spans="1:2" ht="18">
      <c r="A1" s="1" t="s">
        <v>0</v>
      </c>
    </row>
    <row r="2" spans="1:2">
      <c r="A2" s="2" t="s">
        <v>1</v>
      </c>
    </row>
    <row r="4" spans="1:2">
      <c r="A4" s="3"/>
      <c r="B4" s="4" t="s">
        <v>2</v>
      </c>
    </row>
    <row r="5" spans="1:2" ht="25">
      <c r="A5" s="5" t="s">
        <v>3</v>
      </c>
      <c r="B5" s="6" t="s">
        <v>4</v>
      </c>
    </row>
    <row r="6" spans="1:2">
      <c r="A6" s="5" t="s">
        <v>5</v>
      </c>
      <c r="B6" s="6" t="s">
        <v>6</v>
      </c>
    </row>
    <row r="7" spans="1:2" ht="25">
      <c r="A7" s="5" t="s">
        <v>7</v>
      </c>
      <c r="B7" s="6" t="s">
        <v>8</v>
      </c>
    </row>
    <row r="8" spans="1:2" ht="25">
      <c r="A8" s="5" t="s">
        <v>9</v>
      </c>
      <c r="B8" s="6" t="s">
        <v>10</v>
      </c>
    </row>
    <row r="9" spans="1:2">
      <c r="A9" s="5" t="s">
        <v>11</v>
      </c>
      <c r="B9" s="6" t="s">
        <v>12</v>
      </c>
    </row>
    <row r="11" spans="1:2">
      <c r="A11" s="3"/>
      <c r="B11" s="4" t="s">
        <v>13</v>
      </c>
    </row>
    <row r="12" spans="1:2">
      <c r="A12" s="5" t="s">
        <v>3</v>
      </c>
      <c r="B12" s="7" t="s">
        <v>14</v>
      </c>
    </row>
    <row r="13" spans="1:2">
      <c r="A13" s="5" t="s">
        <v>5</v>
      </c>
      <c r="B13" s="6" t="s">
        <v>15</v>
      </c>
    </row>
    <row r="14" spans="1:2">
      <c r="A14" s="5" t="s">
        <v>7</v>
      </c>
      <c r="B14" s="6" t="s">
        <v>16</v>
      </c>
    </row>
    <row r="15" spans="1:2">
      <c r="A15" s="5" t="s">
        <v>9</v>
      </c>
      <c r="B15" s="7" t="s">
        <v>17</v>
      </c>
    </row>
    <row r="17" spans="1:2">
      <c r="A17" s="3"/>
      <c r="B17" s="4" t="s">
        <v>18</v>
      </c>
    </row>
    <row r="18" spans="1:2">
      <c r="A18" s="5" t="s">
        <v>19</v>
      </c>
      <c r="B18" s="6" t="s">
        <v>20</v>
      </c>
    </row>
    <row r="19" spans="1:2">
      <c r="A19" s="5" t="s">
        <v>21</v>
      </c>
      <c r="B19" s="6" t="s">
        <v>22</v>
      </c>
    </row>
    <row r="20" spans="1:2">
      <c r="A20" s="5" t="s">
        <v>23</v>
      </c>
      <c r="B20" s="6" t="s">
        <v>24</v>
      </c>
    </row>
    <row r="22" spans="1:2">
      <c r="A22" s="3"/>
      <c r="B22" s="4" t="s">
        <v>25</v>
      </c>
    </row>
    <row r="23" spans="1:2">
      <c r="A23" s="8" t="s">
        <v>26</v>
      </c>
      <c r="B23" s="6" t="s">
        <v>27</v>
      </c>
    </row>
    <row r="24" spans="1:2">
      <c r="A24" s="8" t="s">
        <v>28</v>
      </c>
      <c r="B24" s="6" t="s">
        <v>29</v>
      </c>
    </row>
    <row r="25" spans="1:2">
      <c r="A25" s="8" t="s">
        <v>30</v>
      </c>
      <c r="B25" s="6" t="s">
        <v>31</v>
      </c>
    </row>
    <row r="26" spans="1:2">
      <c r="A26" s="8" t="s">
        <v>32</v>
      </c>
      <c r="B26" s="6" t="s">
        <v>33</v>
      </c>
    </row>
    <row r="28" spans="1:2">
      <c r="A28" s="3"/>
      <c r="B28" s="4" t="s">
        <v>34</v>
      </c>
    </row>
    <row r="29" spans="1:2" ht="25">
      <c r="A29" s="5" t="s">
        <v>35</v>
      </c>
      <c r="B29" s="6" t="s">
        <v>36</v>
      </c>
    </row>
  </sheetData>
  <phoneticPr fontId="27" type="noConversion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/>
  <cols>
    <col min="1" max="1" width="8" customWidth="1"/>
    <col min="2" max="2" width="20" customWidth="1"/>
    <col min="3" max="3" width="44" customWidth="1"/>
    <col min="4" max="4" width="40" customWidth="1"/>
    <col min="5" max="8" width="8" customWidth="1"/>
    <col min="9" max="9" width="9" customWidth="1"/>
    <col min="10" max="11" width="10" customWidth="1"/>
    <col min="12" max="12" width="9" customWidth="1"/>
    <col min="13" max="13" width="36" customWidth="1"/>
  </cols>
  <sheetData>
    <row r="1" spans="1:13" ht="18">
      <c r="A1" s="1" t="s">
        <v>37</v>
      </c>
    </row>
    <row r="2" spans="1:13">
      <c r="A2" s="2" t="s">
        <v>38</v>
      </c>
    </row>
    <row r="4" spans="1:13" ht="26">
      <c r="A4" s="10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0" t="s">
        <v>51</v>
      </c>
    </row>
    <row r="5" spans="1:13" ht="37.5">
      <c r="A5" s="11" t="s">
        <v>52</v>
      </c>
      <c r="B5" s="12" t="s">
        <v>53</v>
      </c>
      <c r="C5" s="6" t="s">
        <v>54</v>
      </c>
      <c r="D5" s="6" t="s">
        <v>55</v>
      </c>
      <c r="E5" s="13">
        <f>SUMIF('成员1-组长前端'!$E$6:$E$15,"后端",'成员1-组长前端'!$F$6:$F$15)</f>
        <v>0</v>
      </c>
      <c r="F5" s="13">
        <f>SUMIF('成员1-组长前端'!$E$6:$E$15,"前端",'成员1-组长前端'!$F$6:$F$15)</f>
        <v>7</v>
      </c>
      <c r="G5" s="13">
        <f>SUMIF('成员1-组长前端'!$E$6:$E$15,"联调",'成员1-组长前端'!$F$6:$F$15)</f>
        <v>2</v>
      </c>
      <c r="H5" s="13">
        <f>SUMIF('成员1-组长前端'!$E$6:$E$15,"管理",'成员1-组长前端'!$F$6:$F$15)</f>
        <v>1</v>
      </c>
      <c r="I5" s="14">
        <f t="shared" ref="I5:I10" si="0">SUM(E5:H5)</f>
        <v>10</v>
      </c>
      <c r="J5" s="5">
        <f>COUNTIF(原244功能核对!$I$5:$I$248,A5)</f>
        <v>0</v>
      </c>
      <c r="K5" s="5">
        <f>COUNTIF(原244功能核对!$J$5:$J$248,A5)</f>
        <v>114</v>
      </c>
      <c r="L5" s="8" t="s">
        <v>56</v>
      </c>
      <c r="M5" s="6" t="s">
        <v>57</v>
      </c>
    </row>
    <row r="6" spans="1:13" ht="37.5">
      <c r="A6" s="11" t="s">
        <v>58</v>
      </c>
      <c r="B6" s="12" t="s">
        <v>59</v>
      </c>
      <c r="C6" s="6" t="s">
        <v>60</v>
      </c>
      <c r="D6" s="6" t="s">
        <v>61</v>
      </c>
      <c r="E6" s="13">
        <f>SUMIF('成员2-底座后端'!$E$6:$E$15,"后端",'成员2-底座后端'!$F$6:$F$15)</f>
        <v>7.5</v>
      </c>
      <c r="F6" s="13">
        <f>SUMIF('成员2-底座后端'!$E$6:$E$15,"前端",'成员2-底座后端'!$F$6:$F$15)</f>
        <v>0</v>
      </c>
      <c r="G6" s="13">
        <f>SUMIF('成员2-底座后端'!$E$6:$E$15,"联调",'成员2-底座后端'!$F$6:$F$15)</f>
        <v>2</v>
      </c>
      <c r="H6" s="13">
        <f>SUMIF('成员2-底座后端'!$E$6:$E$15,"管理",'成员2-底座后端'!$F$6:$F$15)</f>
        <v>0.5</v>
      </c>
      <c r="I6" s="14">
        <f t="shared" si="0"/>
        <v>10</v>
      </c>
      <c r="J6" s="5">
        <f>COUNTIF(原244功能核对!$I$5:$I$248,A6)</f>
        <v>12</v>
      </c>
      <c r="K6" s="5">
        <f>COUNTIF(原244功能核对!$J$5:$J$248,A6)</f>
        <v>11</v>
      </c>
      <c r="L6" s="8" t="s">
        <v>62</v>
      </c>
      <c r="M6" s="7" t="s">
        <v>63</v>
      </c>
    </row>
    <row r="7" spans="1:13" ht="25">
      <c r="A7" s="11" t="s">
        <v>64</v>
      </c>
      <c r="B7" s="12" t="s">
        <v>65</v>
      </c>
      <c r="C7" s="6" t="s">
        <v>66</v>
      </c>
      <c r="D7" s="6" t="s">
        <v>67</v>
      </c>
      <c r="E7" s="13">
        <f>SUMIF('成员3-报名审核'!$E$6:$E$12,"后端",'成员3-报名审核'!$F$6:$F$12)</f>
        <v>7.5</v>
      </c>
      <c r="F7" s="13">
        <f>SUMIF('成员3-报名审核'!$E$6:$E$12,"前端",'成员3-报名审核'!$F$6:$F$12)</f>
        <v>0</v>
      </c>
      <c r="G7" s="13">
        <f>SUMIF('成员3-报名审核'!$E$6:$E$12,"联调",'成员3-报名审核'!$F$6:$F$12)</f>
        <v>2.5</v>
      </c>
      <c r="H7" s="13">
        <f>SUMIF('成员3-报名审核'!$E$6:$E$12,"管理",'成员3-报名审核'!$F$6:$F$12)</f>
        <v>0</v>
      </c>
      <c r="I7" s="14">
        <f t="shared" si="0"/>
        <v>10</v>
      </c>
      <c r="J7" s="5">
        <f>COUNTIF(原244功能核对!$I$5:$I$248,A7)</f>
        <v>67</v>
      </c>
      <c r="K7" s="5">
        <f>COUNTIF(原244功能核对!$J$5:$J$248,A7)</f>
        <v>4</v>
      </c>
      <c r="L7" s="8" t="s">
        <v>68</v>
      </c>
      <c r="M7" s="6" t="s">
        <v>69</v>
      </c>
    </row>
    <row r="8" spans="1:13" ht="25">
      <c r="A8" s="11" t="s">
        <v>70</v>
      </c>
      <c r="B8" s="12" t="s">
        <v>71</v>
      </c>
      <c r="C8" s="6" t="s">
        <v>72</v>
      </c>
      <c r="D8" s="6" t="s">
        <v>73</v>
      </c>
      <c r="E8" s="13">
        <f>SUMIF('成员4-人员球队'!$E$6:$E$11,"后端",'成员4-人员球队'!$F$6:$F$11)</f>
        <v>7.5</v>
      </c>
      <c r="F8" s="13">
        <f>SUMIF('成员4-人员球队'!$E$6:$E$11,"前端",'成员4-人员球队'!$F$6:$F$11)</f>
        <v>0</v>
      </c>
      <c r="G8" s="13">
        <f>SUMIF('成员4-人员球队'!$E$6:$E$11,"联调",'成员4-人员球队'!$F$6:$F$11)</f>
        <v>2.5</v>
      </c>
      <c r="H8" s="13">
        <f>SUMIF('成员4-人员球队'!$E$6:$E$11,"管理",'成员4-人员球队'!$F$6:$F$11)</f>
        <v>0</v>
      </c>
      <c r="I8" s="14">
        <f t="shared" si="0"/>
        <v>10</v>
      </c>
      <c r="J8" s="5">
        <f>COUNTIF(原244功能核对!$I$5:$I$248,A8)</f>
        <v>82</v>
      </c>
      <c r="K8" s="5">
        <f>COUNTIF(原244功能核对!$J$5:$J$248,A8)</f>
        <v>49</v>
      </c>
      <c r="L8" s="8" t="s">
        <v>74</v>
      </c>
      <c r="M8" s="6" t="s">
        <v>75</v>
      </c>
    </row>
    <row r="9" spans="1:13" ht="26">
      <c r="A9" s="11" t="s">
        <v>76</v>
      </c>
      <c r="B9" s="12" t="s">
        <v>77</v>
      </c>
      <c r="C9" s="6" t="s">
        <v>78</v>
      </c>
      <c r="D9" s="6" t="s">
        <v>79</v>
      </c>
      <c r="E9" s="13">
        <f>SUMIF('成员5-赛事门户'!$E$6:$E$12,"后端",'成员5-赛事门户'!$F$6:$F$12)</f>
        <v>8</v>
      </c>
      <c r="F9" s="13">
        <f>SUMIF('成员5-赛事门户'!$E$6:$E$12,"前端",'成员5-赛事门户'!$F$6:$F$12)</f>
        <v>0</v>
      </c>
      <c r="G9" s="13">
        <f>SUMIF('成员5-赛事门户'!$E$6:$E$12,"联调",'成员5-赛事门户'!$F$6:$F$12)</f>
        <v>2</v>
      </c>
      <c r="H9" s="13">
        <f>SUMIF('成员5-赛事门户'!$E$6:$E$12,"管理",'成员5-赛事门户'!$F$6:$F$12)</f>
        <v>0</v>
      </c>
      <c r="I9" s="14">
        <f t="shared" si="0"/>
        <v>10</v>
      </c>
      <c r="J9" s="5">
        <f>COUNTIF(原244功能核对!$I$5:$I$248,A9)</f>
        <v>61</v>
      </c>
      <c r="K9" s="5">
        <f>COUNTIF(原244功能核对!$J$5:$J$248,A9)</f>
        <v>3</v>
      </c>
      <c r="L9" s="8" t="s">
        <v>80</v>
      </c>
      <c r="M9" s="6" t="s">
        <v>81</v>
      </c>
    </row>
    <row r="10" spans="1:13" ht="25">
      <c r="A10" s="11" t="s">
        <v>82</v>
      </c>
      <c r="B10" s="12" t="s">
        <v>83</v>
      </c>
      <c r="C10" s="6" t="s">
        <v>84</v>
      </c>
      <c r="D10" s="6" t="s">
        <v>85</v>
      </c>
      <c r="E10" s="13">
        <f>SUMIF('成员6-门户遴选'!$E$6:$E$12,"后端",'成员6-门户遴选'!$F$6:$F$12)</f>
        <v>3</v>
      </c>
      <c r="F10" s="13">
        <f>SUMIF('成员6-门户遴选'!$E$6:$E$12,"前端",'成员6-门户遴选'!$F$6:$F$12)</f>
        <v>5.5</v>
      </c>
      <c r="G10" s="13">
        <f>SUMIF('成员6-门户遴选'!$E$6:$E$12,"联调",'成员6-门户遴选'!$F$6:$F$12)</f>
        <v>1.5</v>
      </c>
      <c r="H10" s="13">
        <f>SUMIF('成员6-门户遴选'!$E$6:$E$12,"管理",'成员6-门户遴选'!$F$6:$F$12)</f>
        <v>0</v>
      </c>
      <c r="I10" s="14">
        <f t="shared" si="0"/>
        <v>10</v>
      </c>
      <c r="J10" s="5">
        <f>COUNTIF(原244功能核对!$I$5:$I$248,A10)</f>
        <v>22</v>
      </c>
      <c r="K10" s="5">
        <f>COUNTIF(原244功能核对!$J$5:$J$248,A10)</f>
        <v>63</v>
      </c>
      <c r="L10" s="8" t="s">
        <v>86</v>
      </c>
      <c r="M10" s="6" t="s">
        <v>87</v>
      </c>
    </row>
    <row r="11" spans="1:13">
      <c r="A11" s="15" t="s">
        <v>88</v>
      </c>
      <c r="B11" s="16"/>
      <c r="C11" s="16"/>
      <c r="D11" s="16"/>
      <c r="E11" s="17">
        <f t="shared" ref="E11:K11" si="1">SUM(E5:E10)</f>
        <v>33.5</v>
      </c>
      <c r="F11" s="17">
        <f t="shared" si="1"/>
        <v>12.5</v>
      </c>
      <c r="G11" s="17">
        <f t="shared" si="1"/>
        <v>12.5</v>
      </c>
      <c r="H11" s="17">
        <f t="shared" si="1"/>
        <v>1.5</v>
      </c>
      <c r="I11" s="17">
        <f t="shared" si="1"/>
        <v>60</v>
      </c>
      <c r="J11" s="18">
        <f t="shared" si="1"/>
        <v>244</v>
      </c>
      <c r="K11" s="18">
        <f t="shared" si="1"/>
        <v>244</v>
      </c>
      <c r="L11" s="16"/>
      <c r="M11" s="16"/>
    </row>
    <row r="12" spans="1:13">
      <c r="D12" s="19" t="s">
        <v>89</v>
      </c>
      <c r="I12" s="13">
        <f>I11-60</f>
        <v>0</v>
      </c>
    </row>
    <row r="13" spans="1:13">
      <c r="D13" s="19" t="s">
        <v>90</v>
      </c>
      <c r="J13" s="5">
        <f>J11-244</f>
        <v>0</v>
      </c>
    </row>
    <row r="14" spans="1:13" ht="23">
      <c r="D14" s="19" t="s">
        <v>91</v>
      </c>
      <c r="K14" s="5">
        <f>K11-244</f>
        <v>0</v>
      </c>
    </row>
    <row r="16" spans="1:13">
      <c r="A16" s="20" t="s">
        <v>92</v>
      </c>
    </row>
  </sheetData>
  <phoneticPr fontId="27" type="noConversion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328125" defaultRowHeight="14.5"/>
  <cols>
    <col min="1" max="1" width="7" customWidth="1"/>
    <col min="2" max="7" width="24" customWidth="1"/>
    <col min="8" max="8" width="40" customWidth="1"/>
  </cols>
  <sheetData>
    <row r="1" spans="1:8" ht="18">
      <c r="A1" s="1" t="s">
        <v>93</v>
      </c>
    </row>
    <row r="2" spans="1:8">
      <c r="A2" s="2" t="s">
        <v>94</v>
      </c>
    </row>
    <row r="4" spans="1:8" ht="26">
      <c r="A4" s="10" t="s">
        <v>95</v>
      </c>
      <c r="B4" s="10" t="s">
        <v>96</v>
      </c>
      <c r="C4" s="10" t="s">
        <v>97</v>
      </c>
      <c r="D4" s="10" t="s">
        <v>98</v>
      </c>
      <c r="E4" s="10" t="s">
        <v>99</v>
      </c>
      <c r="F4" s="10" t="s">
        <v>100</v>
      </c>
      <c r="G4" s="10" t="s">
        <v>101</v>
      </c>
      <c r="H4" s="10" t="s">
        <v>102</v>
      </c>
    </row>
    <row r="5" spans="1:8" ht="25">
      <c r="A5" s="21" t="s">
        <v>103</v>
      </c>
      <c r="B5" s="6" t="s">
        <v>104</v>
      </c>
      <c r="C5" s="6" t="s">
        <v>105</v>
      </c>
      <c r="D5" s="6" t="s">
        <v>106</v>
      </c>
      <c r="E5" s="6" t="s">
        <v>107</v>
      </c>
      <c r="F5" s="6" t="s">
        <v>108</v>
      </c>
      <c r="G5" s="6" t="s">
        <v>109</v>
      </c>
      <c r="H5" s="22" t="s">
        <v>110</v>
      </c>
    </row>
    <row r="6" spans="1:8" ht="25">
      <c r="A6" s="21" t="s">
        <v>111</v>
      </c>
      <c r="B6" s="6" t="s">
        <v>112</v>
      </c>
      <c r="C6" s="6" t="s">
        <v>113</v>
      </c>
      <c r="D6" s="6" t="s">
        <v>114</v>
      </c>
      <c r="E6" s="6" t="s">
        <v>115</v>
      </c>
      <c r="F6" s="6" t="s">
        <v>116</v>
      </c>
      <c r="G6" s="6" t="s">
        <v>117</v>
      </c>
      <c r="H6" s="22" t="s">
        <v>118</v>
      </c>
    </row>
    <row r="7" spans="1:8" ht="25">
      <c r="A7" s="21" t="s">
        <v>119</v>
      </c>
      <c r="B7" s="6" t="s">
        <v>120</v>
      </c>
      <c r="C7" s="6" t="s">
        <v>121</v>
      </c>
      <c r="D7" s="6" t="s">
        <v>114</v>
      </c>
      <c r="E7" s="6" t="s">
        <v>122</v>
      </c>
      <c r="F7" s="6" t="s">
        <v>123</v>
      </c>
      <c r="G7" s="6" t="s">
        <v>117</v>
      </c>
      <c r="H7" s="22" t="s">
        <v>124</v>
      </c>
    </row>
    <row r="8" spans="1:8" ht="25">
      <c r="A8" s="21" t="s">
        <v>125</v>
      </c>
      <c r="B8" s="6" t="s">
        <v>126</v>
      </c>
      <c r="C8" s="6" t="s">
        <v>127</v>
      </c>
      <c r="D8" s="6" t="s">
        <v>128</v>
      </c>
      <c r="E8" s="6" t="s">
        <v>129</v>
      </c>
      <c r="F8" s="6" t="s">
        <v>123</v>
      </c>
      <c r="G8" s="6" t="s">
        <v>130</v>
      </c>
      <c r="H8" s="22" t="s">
        <v>131</v>
      </c>
    </row>
    <row r="9" spans="1:8" ht="25">
      <c r="A9" s="21" t="s">
        <v>132</v>
      </c>
      <c r="B9" s="6" t="s">
        <v>126</v>
      </c>
      <c r="C9" s="6" t="s">
        <v>133</v>
      </c>
      <c r="D9" s="6" t="s">
        <v>128</v>
      </c>
      <c r="E9" s="6" t="s">
        <v>134</v>
      </c>
      <c r="F9" s="6" t="s">
        <v>135</v>
      </c>
      <c r="G9" s="6" t="s">
        <v>130</v>
      </c>
      <c r="H9" s="23" t="s">
        <v>136</v>
      </c>
    </row>
    <row r="10" spans="1:8" ht="25">
      <c r="A10" s="21" t="s">
        <v>137</v>
      </c>
      <c r="B10" s="6" t="s">
        <v>138</v>
      </c>
      <c r="C10" s="6" t="s">
        <v>139</v>
      </c>
      <c r="D10" s="6" t="s">
        <v>140</v>
      </c>
      <c r="E10" s="6" t="s">
        <v>141</v>
      </c>
      <c r="F10" s="7" t="s">
        <v>142</v>
      </c>
      <c r="G10" s="6" t="s">
        <v>143</v>
      </c>
      <c r="H10" s="22" t="s">
        <v>144</v>
      </c>
    </row>
    <row r="11" spans="1:8" ht="37.5">
      <c r="A11" s="21" t="s">
        <v>145</v>
      </c>
      <c r="B11" s="6" t="s">
        <v>146</v>
      </c>
      <c r="C11" s="6" t="s">
        <v>147</v>
      </c>
      <c r="D11" s="7" t="s">
        <v>148</v>
      </c>
      <c r="E11" s="6" t="s">
        <v>149</v>
      </c>
      <c r="F11" s="7" t="s">
        <v>142</v>
      </c>
      <c r="G11" s="6" t="s">
        <v>150</v>
      </c>
      <c r="H11" s="23" t="s">
        <v>151</v>
      </c>
    </row>
    <row r="12" spans="1:8" ht="25">
      <c r="A12" s="21" t="s">
        <v>152</v>
      </c>
      <c r="B12" s="6" t="s">
        <v>153</v>
      </c>
      <c r="C12" s="6" t="s">
        <v>154</v>
      </c>
      <c r="D12" s="6" t="s">
        <v>155</v>
      </c>
      <c r="E12" s="6" t="s">
        <v>156</v>
      </c>
      <c r="F12" s="6" t="s">
        <v>157</v>
      </c>
      <c r="G12" s="6" t="s">
        <v>158</v>
      </c>
      <c r="H12" s="22" t="s">
        <v>159</v>
      </c>
    </row>
    <row r="13" spans="1:8" ht="25">
      <c r="A13" s="21" t="s">
        <v>160</v>
      </c>
      <c r="B13" s="6" t="s">
        <v>161</v>
      </c>
      <c r="C13" s="6" t="s">
        <v>162</v>
      </c>
      <c r="D13" s="6" t="s">
        <v>163</v>
      </c>
      <c r="E13" s="6" t="s">
        <v>164</v>
      </c>
      <c r="F13" s="6" t="s">
        <v>165</v>
      </c>
      <c r="G13" s="6" t="s">
        <v>166</v>
      </c>
      <c r="H13" s="22" t="s">
        <v>167</v>
      </c>
    </row>
    <row r="14" spans="1:8" ht="25">
      <c r="A14" s="21" t="s">
        <v>168</v>
      </c>
      <c r="B14" s="6" t="s">
        <v>169</v>
      </c>
      <c r="C14" s="6" t="s">
        <v>162</v>
      </c>
      <c r="D14" s="6" t="s">
        <v>163</v>
      </c>
      <c r="E14" s="6" t="s">
        <v>164</v>
      </c>
      <c r="F14" s="6" t="s">
        <v>165</v>
      </c>
      <c r="G14" s="6" t="s">
        <v>170</v>
      </c>
      <c r="H14" s="22" t="s">
        <v>171</v>
      </c>
    </row>
  </sheetData>
  <phoneticPr fontId="27" type="noConversion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/>
  <cols>
    <col min="1" max="1" width="8" customWidth="1"/>
    <col min="2" max="2" width="9" customWidth="1"/>
    <col min="3" max="3" width="20" customWidth="1"/>
    <col min="4" max="4" width="52" customWidth="1"/>
    <col min="5" max="5" width="7" customWidth="1"/>
    <col min="6" max="6" width="6" customWidth="1"/>
    <col min="7" max="7" width="7" customWidth="1"/>
    <col min="8" max="8" width="28" customWidth="1"/>
    <col min="9" max="9" width="40" customWidth="1"/>
    <col min="10" max="10" width="14" customWidth="1"/>
    <col min="11" max="11" width="9" customWidth="1"/>
    <col min="12" max="13" width="8" customWidth="1"/>
  </cols>
  <sheetData>
    <row r="1" spans="1:13" ht="18">
      <c r="A1" s="1" t="s">
        <v>172</v>
      </c>
    </row>
    <row r="2" spans="1:13">
      <c r="A2" s="2" t="s">
        <v>173</v>
      </c>
    </row>
    <row r="3" spans="1:13">
      <c r="A3" s="24" t="s">
        <v>174</v>
      </c>
    </row>
    <row r="5" spans="1:13" ht="26">
      <c r="A5" s="10" t="s">
        <v>175</v>
      </c>
      <c r="B5" s="10" t="s">
        <v>176</v>
      </c>
      <c r="C5" s="10" t="s">
        <v>177</v>
      </c>
      <c r="D5" s="10" t="s">
        <v>178</v>
      </c>
      <c r="E5" s="10" t="s">
        <v>179</v>
      </c>
      <c r="F5" s="10" t="s">
        <v>180</v>
      </c>
      <c r="G5" s="10" t="s">
        <v>181</v>
      </c>
      <c r="H5" s="10" t="s">
        <v>182</v>
      </c>
      <c r="I5" s="10" t="s">
        <v>183</v>
      </c>
      <c r="J5" s="10" t="s">
        <v>184</v>
      </c>
      <c r="K5" s="10" t="s">
        <v>185</v>
      </c>
      <c r="L5" s="10" t="s">
        <v>186</v>
      </c>
      <c r="M5" s="10" t="s">
        <v>187</v>
      </c>
    </row>
    <row r="6" spans="1:13" ht="37.5">
      <c r="A6" s="25" t="s">
        <v>188</v>
      </c>
      <c r="B6" s="11" t="str">
        <f t="shared" ref="B6:B14" si="0">IF(INT(L6)+1=ROUNDUP(M6,0),"D"&amp;(INT(L6)+1),"D"&amp;(INT(L6)+1)&amp;"–D"&amp;ROUNDUP(M6,0))</f>
        <v>D1</v>
      </c>
      <c r="C6" s="6" t="s">
        <v>189</v>
      </c>
      <c r="D6" s="6" t="s">
        <v>190</v>
      </c>
      <c r="E6" s="8" t="s">
        <v>191</v>
      </c>
      <c r="F6" s="26">
        <v>1</v>
      </c>
      <c r="G6" s="27" t="s">
        <v>192</v>
      </c>
      <c r="H6" s="6" t="s">
        <v>193</v>
      </c>
      <c r="I6" s="7" t="s">
        <v>194</v>
      </c>
      <c r="J6" s="5" t="s">
        <v>195</v>
      </c>
      <c r="K6" s="28" t="s">
        <v>196</v>
      </c>
      <c r="L6" s="29">
        <v>0</v>
      </c>
      <c r="M6" s="29">
        <f t="shared" ref="M6:M14" si="1">L6+F6</f>
        <v>1</v>
      </c>
    </row>
    <row r="7" spans="1:13" ht="25">
      <c r="A7" s="25" t="s">
        <v>197</v>
      </c>
      <c r="B7" s="11" t="str">
        <f t="shared" si="0"/>
        <v>D2</v>
      </c>
      <c r="C7" s="6" t="s">
        <v>198</v>
      </c>
      <c r="D7" s="6" t="s">
        <v>199</v>
      </c>
      <c r="E7" s="8" t="s">
        <v>191</v>
      </c>
      <c r="F7" s="26">
        <v>1</v>
      </c>
      <c r="G7" s="27" t="s">
        <v>192</v>
      </c>
      <c r="H7" s="7" t="s">
        <v>200</v>
      </c>
      <c r="I7" s="6" t="s">
        <v>201</v>
      </c>
      <c r="J7" s="5" t="s">
        <v>202</v>
      </c>
      <c r="K7" s="28" t="s">
        <v>196</v>
      </c>
      <c r="L7" s="29">
        <f t="shared" ref="L7:L14" si="2">M6</f>
        <v>1</v>
      </c>
      <c r="M7" s="29">
        <f t="shared" si="1"/>
        <v>2</v>
      </c>
    </row>
    <row r="8" spans="1:13" ht="37.5">
      <c r="A8" s="25" t="s">
        <v>203</v>
      </c>
      <c r="B8" s="11" t="str">
        <f t="shared" si="0"/>
        <v>D3</v>
      </c>
      <c r="C8" s="6" t="s">
        <v>204</v>
      </c>
      <c r="D8" s="6" t="s">
        <v>205</v>
      </c>
      <c r="E8" s="8" t="s">
        <v>191</v>
      </c>
      <c r="F8" s="26">
        <v>1</v>
      </c>
      <c r="G8" s="27" t="s">
        <v>192</v>
      </c>
      <c r="H8" s="6" t="s">
        <v>206</v>
      </c>
      <c r="I8" s="6" t="s">
        <v>207</v>
      </c>
      <c r="J8" s="5" t="s">
        <v>208</v>
      </c>
      <c r="K8" s="28" t="s">
        <v>196</v>
      </c>
      <c r="L8" s="29">
        <f t="shared" si="2"/>
        <v>2</v>
      </c>
      <c r="M8" s="29">
        <f t="shared" si="1"/>
        <v>3</v>
      </c>
    </row>
    <row r="9" spans="1:13" ht="37.5">
      <c r="A9" s="25" t="s">
        <v>209</v>
      </c>
      <c r="B9" s="11" t="str">
        <f t="shared" si="0"/>
        <v>D4–D5</v>
      </c>
      <c r="C9" s="6" t="s">
        <v>210</v>
      </c>
      <c r="D9" s="6" t="s">
        <v>211</v>
      </c>
      <c r="E9" s="8" t="s">
        <v>191</v>
      </c>
      <c r="F9" s="26">
        <v>2</v>
      </c>
      <c r="G9" s="27" t="s">
        <v>192</v>
      </c>
      <c r="H9" s="6" t="s">
        <v>212</v>
      </c>
      <c r="I9" s="6" t="s">
        <v>213</v>
      </c>
      <c r="J9" s="5" t="s">
        <v>214</v>
      </c>
      <c r="K9" s="28" t="s">
        <v>196</v>
      </c>
      <c r="L9" s="29">
        <f t="shared" si="2"/>
        <v>3</v>
      </c>
      <c r="M9" s="29">
        <f t="shared" si="1"/>
        <v>5</v>
      </c>
    </row>
    <row r="10" spans="1:13" ht="25">
      <c r="A10" s="25" t="s">
        <v>215</v>
      </c>
      <c r="B10" s="11" t="str">
        <f t="shared" si="0"/>
        <v>D6</v>
      </c>
      <c r="C10" s="6" t="s">
        <v>216</v>
      </c>
      <c r="D10" s="6" t="s">
        <v>217</v>
      </c>
      <c r="E10" s="8" t="s">
        <v>191</v>
      </c>
      <c r="F10" s="26">
        <v>1</v>
      </c>
      <c r="G10" s="27" t="s">
        <v>192</v>
      </c>
      <c r="H10" s="6" t="s">
        <v>218</v>
      </c>
      <c r="I10" s="6" t="s">
        <v>219</v>
      </c>
      <c r="J10" s="5" t="s">
        <v>220</v>
      </c>
      <c r="K10" s="28" t="s">
        <v>196</v>
      </c>
      <c r="L10" s="29">
        <f t="shared" si="2"/>
        <v>5</v>
      </c>
      <c r="M10" s="29">
        <f t="shared" si="1"/>
        <v>6</v>
      </c>
    </row>
    <row r="11" spans="1:13" ht="25">
      <c r="A11" s="25" t="s">
        <v>221</v>
      </c>
      <c r="B11" s="11" t="str">
        <f t="shared" si="0"/>
        <v>D7</v>
      </c>
      <c r="C11" s="6" t="s">
        <v>222</v>
      </c>
      <c r="D11" s="6" t="s">
        <v>223</v>
      </c>
      <c r="E11" s="8" t="s">
        <v>191</v>
      </c>
      <c r="F11" s="26">
        <v>1</v>
      </c>
      <c r="G11" s="27" t="s">
        <v>192</v>
      </c>
      <c r="H11" s="6" t="s">
        <v>224</v>
      </c>
      <c r="I11" s="6" t="s">
        <v>225</v>
      </c>
      <c r="J11" s="5" t="s">
        <v>226</v>
      </c>
      <c r="K11" s="28" t="s">
        <v>196</v>
      </c>
      <c r="L11" s="29">
        <f t="shared" si="2"/>
        <v>6</v>
      </c>
      <c r="M11" s="29">
        <f t="shared" si="1"/>
        <v>7</v>
      </c>
    </row>
    <row r="12" spans="1:13" ht="25">
      <c r="A12" s="25" t="s">
        <v>227</v>
      </c>
      <c r="B12" s="11" t="str">
        <f t="shared" si="0"/>
        <v>D8</v>
      </c>
      <c r="C12" s="6" t="s">
        <v>228</v>
      </c>
      <c r="D12" s="7" t="s">
        <v>229</v>
      </c>
      <c r="E12" s="8" t="s">
        <v>230</v>
      </c>
      <c r="F12" s="26">
        <v>1</v>
      </c>
      <c r="G12" s="27" t="s">
        <v>192</v>
      </c>
      <c r="H12" s="6" t="s">
        <v>231</v>
      </c>
      <c r="I12" s="6" t="s">
        <v>232</v>
      </c>
      <c r="J12" s="5" t="s">
        <v>233</v>
      </c>
      <c r="K12" s="28" t="s">
        <v>196</v>
      </c>
      <c r="L12" s="29">
        <f t="shared" si="2"/>
        <v>7</v>
      </c>
      <c r="M12" s="29">
        <f t="shared" si="1"/>
        <v>8</v>
      </c>
    </row>
    <row r="13" spans="1:13" ht="25">
      <c r="A13" s="25" t="s">
        <v>234</v>
      </c>
      <c r="B13" s="11" t="str">
        <f t="shared" si="0"/>
        <v>D9</v>
      </c>
      <c r="C13" s="6" t="s">
        <v>235</v>
      </c>
      <c r="D13" s="6" t="s">
        <v>236</v>
      </c>
      <c r="E13" s="8" t="s">
        <v>230</v>
      </c>
      <c r="F13" s="26">
        <v>1</v>
      </c>
      <c r="G13" s="27" t="s">
        <v>192</v>
      </c>
      <c r="H13" s="6" t="s">
        <v>237</v>
      </c>
      <c r="I13" s="7" t="s">
        <v>238</v>
      </c>
      <c r="J13" s="5" t="s">
        <v>233</v>
      </c>
      <c r="K13" s="28" t="s">
        <v>196</v>
      </c>
      <c r="L13" s="29">
        <f t="shared" si="2"/>
        <v>8</v>
      </c>
      <c r="M13" s="29">
        <f t="shared" si="1"/>
        <v>9</v>
      </c>
    </row>
    <row r="14" spans="1:13" ht="25">
      <c r="A14" s="25" t="s">
        <v>239</v>
      </c>
      <c r="B14" s="11" t="str">
        <f t="shared" si="0"/>
        <v>D10</v>
      </c>
      <c r="C14" s="6" t="s">
        <v>169</v>
      </c>
      <c r="D14" s="6" t="s">
        <v>240</v>
      </c>
      <c r="E14" s="8" t="s">
        <v>241</v>
      </c>
      <c r="F14" s="26">
        <v>0.5</v>
      </c>
      <c r="G14" s="27" t="s">
        <v>192</v>
      </c>
      <c r="H14" s="6" t="s">
        <v>242</v>
      </c>
      <c r="I14" s="7" t="s">
        <v>243</v>
      </c>
      <c r="J14" s="5" t="s">
        <v>233</v>
      </c>
      <c r="K14" s="28" t="s">
        <v>196</v>
      </c>
      <c r="L14" s="29">
        <f t="shared" si="2"/>
        <v>9</v>
      </c>
      <c r="M14" s="29">
        <f t="shared" si="1"/>
        <v>9.5</v>
      </c>
    </row>
    <row r="15" spans="1:13" ht="26">
      <c r="A15" s="25" t="s">
        <v>244</v>
      </c>
      <c r="B15" s="30" t="s">
        <v>245</v>
      </c>
      <c r="C15" s="6" t="s">
        <v>246</v>
      </c>
      <c r="D15" s="6" t="s">
        <v>247</v>
      </c>
      <c r="E15" s="8" t="s">
        <v>241</v>
      </c>
      <c r="F15" s="26">
        <v>0.5</v>
      </c>
      <c r="G15" s="27" t="s">
        <v>192</v>
      </c>
      <c r="H15" s="6" t="s">
        <v>68</v>
      </c>
      <c r="I15" s="6" t="s">
        <v>248</v>
      </c>
      <c r="J15" s="5" t="s">
        <v>233</v>
      </c>
      <c r="K15" s="28" t="s">
        <v>196</v>
      </c>
      <c r="L15" s="19"/>
      <c r="M15" s="19"/>
    </row>
    <row r="16" spans="1:13">
      <c r="E16" s="15" t="s">
        <v>88</v>
      </c>
      <c r="F16" s="17">
        <f>SUM(F6:F15)</f>
        <v>10</v>
      </c>
    </row>
  </sheetData>
  <phoneticPr fontId="27" type="noConversion"/>
  <dataValidations count="1">
    <dataValidation type="list" allowBlank="1" sqref="K6:K15" xr:uid="{00000000-0002-0000-0400-000000000000}">
      <formula1>"未开始,进行中,已完成,受阻"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/>
  <cols>
    <col min="1" max="1" width="8" customWidth="1"/>
    <col min="2" max="2" width="9" customWidth="1"/>
    <col min="3" max="3" width="20" customWidth="1"/>
    <col min="4" max="4" width="52" customWidth="1"/>
    <col min="5" max="5" width="7" customWidth="1"/>
    <col min="6" max="6" width="6" customWidth="1"/>
    <col min="7" max="7" width="7" customWidth="1"/>
    <col min="8" max="8" width="28" customWidth="1"/>
    <col min="9" max="9" width="40" customWidth="1"/>
    <col min="10" max="10" width="14" customWidth="1"/>
    <col min="11" max="11" width="9" customWidth="1"/>
    <col min="12" max="13" width="8" customWidth="1"/>
  </cols>
  <sheetData>
    <row r="1" spans="1:13" ht="18">
      <c r="A1" s="1" t="s">
        <v>249</v>
      </c>
    </row>
    <row r="2" spans="1:13">
      <c r="A2" s="2" t="s">
        <v>250</v>
      </c>
    </row>
    <row r="3" spans="1:13">
      <c r="A3" s="24" t="s">
        <v>174</v>
      </c>
    </row>
    <row r="5" spans="1:13" ht="26">
      <c r="A5" s="10" t="s">
        <v>175</v>
      </c>
      <c r="B5" s="10" t="s">
        <v>176</v>
      </c>
      <c r="C5" s="10" t="s">
        <v>177</v>
      </c>
      <c r="D5" s="10" t="s">
        <v>178</v>
      </c>
      <c r="E5" s="10" t="s">
        <v>179</v>
      </c>
      <c r="F5" s="10" t="s">
        <v>180</v>
      </c>
      <c r="G5" s="10" t="s">
        <v>181</v>
      </c>
      <c r="H5" s="10" t="s">
        <v>182</v>
      </c>
      <c r="I5" s="10" t="s">
        <v>183</v>
      </c>
      <c r="J5" s="10" t="s">
        <v>184</v>
      </c>
      <c r="K5" s="10" t="s">
        <v>185</v>
      </c>
      <c r="L5" s="10" t="s">
        <v>186</v>
      </c>
      <c r="M5" s="10" t="s">
        <v>187</v>
      </c>
    </row>
    <row r="6" spans="1:13" ht="62.5">
      <c r="A6" s="25" t="s">
        <v>251</v>
      </c>
      <c r="B6" s="11" t="str">
        <f t="shared" ref="B6:B14" si="0">IF(INT(L6)+1=ROUNDUP(M6,0),"D"&amp;(INT(L6)+1),"D"&amp;(INT(L6)+1)&amp;"–D"&amp;ROUNDUP(M6,0))</f>
        <v>D1</v>
      </c>
      <c r="C6" s="6" t="s">
        <v>252</v>
      </c>
      <c r="D6" s="7" t="s">
        <v>253</v>
      </c>
      <c r="E6" s="8" t="s">
        <v>254</v>
      </c>
      <c r="F6" s="26">
        <v>1</v>
      </c>
      <c r="G6" s="27" t="s">
        <v>192</v>
      </c>
      <c r="H6" s="6" t="s">
        <v>255</v>
      </c>
      <c r="I6" s="6" t="s">
        <v>256</v>
      </c>
      <c r="J6" s="8" t="s">
        <v>257</v>
      </c>
      <c r="K6" s="28" t="s">
        <v>196</v>
      </c>
      <c r="L6" s="29">
        <v>0</v>
      </c>
      <c r="M6" s="29">
        <f t="shared" ref="M6:M14" si="1">L6+F6</f>
        <v>1</v>
      </c>
    </row>
    <row r="7" spans="1:13" ht="25">
      <c r="A7" s="25" t="s">
        <v>258</v>
      </c>
      <c r="B7" s="11" t="str">
        <f t="shared" si="0"/>
        <v>D2</v>
      </c>
      <c r="C7" s="6" t="s">
        <v>259</v>
      </c>
      <c r="D7" s="7" t="s">
        <v>260</v>
      </c>
      <c r="E7" s="8" t="s">
        <v>254</v>
      </c>
      <c r="F7" s="26">
        <v>1</v>
      </c>
      <c r="G7" s="27" t="s">
        <v>192</v>
      </c>
      <c r="H7" s="7" t="s">
        <v>251</v>
      </c>
      <c r="I7" s="6" t="s">
        <v>261</v>
      </c>
      <c r="J7" s="5" t="s">
        <v>262</v>
      </c>
      <c r="K7" s="28" t="s">
        <v>196</v>
      </c>
      <c r="L7" s="29">
        <f t="shared" ref="L7:L14" si="2">M6</f>
        <v>1</v>
      </c>
      <c r="M7" s="29">
        <f t="shared" si="1"/>
        <v>2</v>
      </c>
    </row>
    <row r="8" spans="1:13" ht="37.5">
      <c r="A8" s="25" t="s">
        <v>263</v>
      </c>
      <c r="B8" s="11" t="str">
        <f t="shared" si="0"/>
        <v>D3–D4</v>
      </c>
      <c r="C8" s="6" t="s">
        <v>264</v>
      </c>
      <c r="D8" s="6" t="s">
        <v>265</v>
      </c>
      <c r="E8" s="8" t="s">
        <v>254</v>
      </c>
      <c r="F8" s="26">
        <v>1.5</v>
      </c>
      <c r="G8" s="27" t="s">
        <v>192</v>
      </c>
      <c r="H8" s="7" t="s">
        <v>266</v>
      </c>
      <c r="I8" s="6" t="s">
        <v>267</v>
      </c>
      <c r="J8" s="5" t="s">
        <v>195</v>
      </c>
      <c r="K8" s="28" t="s">
        <v>196</v>
      </c>
      <c r="L8" s="29">
        <f t="shared" si="2"/>
        <v>2</v>
      </c>
      <c r="M8" s="29">
        <f t="shared" si="1"/>
        <v>3.5</v>
      </c>
    </row>
    <row r="9" spans="1:13" ht="25">
      <c r="A9" s="25" t="s">
        <v>268</v>
      </c>
      <c r="B9" s="11" t="str">
        <f t="shared" si="0"/>
        <v>D4</v>
      </c>
      <c r="C9" s="6" t="s">
        <v>269</v>
      </c>
      <c r="D9" s="6" t="s">
        <v>270</v>
      </c>
      <c r="E9" s="8" t="s">
        <v>254</v>
      </c>
      <c r="F9" s="26">
        <v>0.5</v>
      </c>
      <c r="G9" s="27" t="s">
        <v>192</v>
      </c>
      <c r="H9" s="6" t="s">
        <v>271</v>
      </c>
      <c r="I9" s="6" t="s">
        <v>272</v>
      </c>
      <c r="J9" s="5" t="s">
        <v>273</v>
      </c>
      <c r="K9" s="28" t="s">
        <v>196</v>
      </c>
      <c r="L9" s="29">
        <f t="shared" si="2"/>
        <v>3.5</v>
      </c>
      <c r="M9" s="29">
        <f t="shared" si="1"/>
        <v>4</v>
      </c>
    </row>
    <row r="10" spans="1:13" ht="37.5">
      <c r="A10" s="25" t="s">
        <v>274</v>
      </c>
      <c r="B10" s="11" t="str">
        <f t="shared" si="0"/>
        <v>D5</v>
      </c>
      <c r="C10" s="6" t="s">
        <v>275</v>
      </c>
      <c r="D10" s="6" t="s">
        <v>276</v>
      </c>
      <c r="E10" s="8" t="s">
        <v>254</v>
      </c>
      <c r="F10" s="26">
        <v>1</v>
      </c>
      <c r="G10" s="31" t="s">
        <v>277</v>
      </c>
      <c r="H10" s="7" t="s">
        <v>278</v>
      </c>
      <c r="I10" s="6" t="s">
        <v>279</v>
      </c>
      <c r="J10" s="5" t="s">
        <v>280</v>
      </c>
      <c r="K10" s="28" t="s">
        <v>196</v>
      </c>
      <c r="L10" s="29">
        <f t="shared" si="2"/>
        <v>4</v>
      </c>
      <c r="M10" s="29">
        <f t="shared" si="1"/>
        <v>5</v>
      </c>
    </row>
    <row r="11" spans="1:13" ht="37.5">
      <c r="A11" s="25" t="s">
        <v>281</v>
      </c>
      <c r="B11" s="11" t="str">
        <f t="shared" si="0"/>
        <v>D6</v>
      </c>
      <c r="C11" s="6" t="s">
        <v>282</v>
      </c>
      <c r="D11" s="6" t="s">
        <v>283</v>
      </c>
      <c r="E11" s="8" t="s">
        <v>254</v>
      </c>
      <c r="F11" s="26">
        <v>1</v>
      </c>
      <c r="G11" s="32" t="s">
        <v>284</v>
      </c>
      <c r="H11" s="6" t="s">
        <v>285</v>
      </c>
      <c r="I11" s="6" t="s">
        <v>286</v>
      </c>
      <c r="J11" s="5" t="s">
        <v>287</v>
      </c>
      <c r="K11" s="28" t="s">
        <v>196</v>
      </c>
      <c r="L11" s="29">
        <f t="shared" si="2"/>
        <v>5</v>
      </c>
      <c r="M11" s="29">
        <f t="shared" si="1"/>
        <v>6</v>
      </c>
    </row>
    <row r="12" spans="1:13" ht="50">
      <c r="A12" s="25" t="s">
        <v>288</v>
      </c>
      <c r="B12" s="11" t="str">
        <f t="shared" si="0"/>
        <v>D7</v>
      </c>
      <c r="C12" s="6" t="s">
        <v>289</v>
      </c>
      <c r="D12" s="6" t="s">
        <v>290</v>
      </c>
      <c r="E12" s="8" t="s">
        <v>254</v>
      </c>
      <c r="F12" s="26">
        <v>1</v>
      </c>
      <c r="G12" s="32" t="s">
        <v>284</v>
      </c>
      <c r="H12" s="6" t="s">
        <v>291</v>
      </c>
      <c r="I12" s="6" t="s">
        <v>292</v>
      </c>
      <c r="J12" s="5" t="s">
        <v>293</v>
      </c>
      <c r="K12" s="28" t="s">
        <v>196</v>
      </c>
      <c r="L12" s="29">
        <f t="shared" si="2"/>
        <v>6</v>
      </c>
      <c r="M12" s="29">
        <f t="shared" si="1"/>
        <v>7</v>
      </c>
    </row>
    <row r="13" spans="1:13" ht="25">
      <c r="A13" s="25" t="s">
        <v>294</v>
      </c>
      <c r="B13" s="11" t="str">
        <f t="shared" si="0"/>
        <v>D8</v>
      </c>
      <c r="C13" s="6" t="s">
        <v>295</v>
      </c>
      <c r="D13" s="6" t="s">
        <v>296</v>
      </c>
      <c r="E13" s="8" t="s">
        <v>254</v>
      </c>
      <c r="F13" s="26">
        <v>0.5</v>
      </c>
      <c r="G13" s="27" t="s">
        <v>192</v>
      </c>
      <c r="H13" s="6" t="s">
        <v>297</v>
      </c>
      <c r="I13" s="6" t="s">
        <v>298</v>
      </c>
      <c r="J13" s="5" t="s">
        <v>299</v>
      </c>
      <c r="K13" s="28" t="s">
        <v>196</v>
      </c>
      <c r="L13" s="29">
        <f t="shared" si="2"/>
        <v>7</v>
      </c>
      <c r="M13" s="29">
        <f t="shared" si="1"/>
        <v>7.5</v>
      </c>
    </row>
    <row r="14" spans="1:13" ht="37.5">
      <c r="A14" s="25" t="s">
        <v>300</v>
      </c>
      <c r="B14" s="11" t="str">
        <f t="shared" si="0"/>
        <v>D8–D10</v>
      </c>
      <c r="C14" s="6" t="s">
        <v>301</v>
      </c>
      <c r="D14" s="6" t="s">
        <v>302</v>
      </c>
      <c r="E14" s="8" t="s">
        <v>230</v>
      </c>
      <c r="F14" s="26">
        <v>2</v>
      </c>
      <c r="G14" s="27" t="s">
        <v>192</v>
      </c>
      <c r="H14" s="6" t="s">
        <v>242</v>
      </c>
      <c r="I14" s="6" t="s">
        <v>303</v>
      </c>
      <c r="J14" s="5" t="s">
        <v>233</v>
      </c>
      <c r="K14" s="28" t="s">
        <v>196</v>
      </c>
      <c r="L14" s="29">
        <f t="shared" si="2"/>
        <v>7.5</v>
      </c>
      <c r="M14" s="29">
        <f t="shared" si="1"/>
        <v>9.5</v>
      </c>
    </row>
    <row r="15" spans="1:13" ht="26">
      <c r="A15" s="25" t="s">
        <v>304</v>
      </c>
      <c r="B15" s="30" t="s">
        <v>245</v>
      </c>
      <c r="C15" s="6" t="s">
        <v>305</v>
      </c>
      <c r="D15" s="6" t="s">
        <v>306</v>
      </c>
      <c r="E15" s="8" t="s">
        <v>241</v>
      </c>
      <c r="F15" s="26">
        <v>0.5</v>
      </c>
      <c r="G15" s="27" t="s">
        <v>192</v>
      </c>
      <c r="H15" s="6" t="s">
        <v>307</v>
      </c>
      <c r="I15" s="6" t="s">
        <v>308</v>
      </c>
      <c r="J15" s="5" t="s">
        <v>233</v>
      </c>
      <c r="K15" s="28" t="s">
        <v>196</v>
      </c>
      <c r="L15" s="19"/>
      <c r="M15" s="19"/>
    </row>
    <row r="16" spans="1:13">
      <c r="E16" s="15" t="s">
        <v>88</v>
      </c>
      <c r="F16" s="17">
        <f>SUM(F6:F15)</f>
        <v>10</v>
      </c>
    </row>
  </sheetData>
  <phoneticPr fontId="27" type="noConversion"/>
  <dataValidations count="1">
    <dataValidation type="list" allowBlank="1" sqref="K6:K15" xr:uid="{00000000-0002-0000-0500-000000000000}">
      <formula1>"未开始,进行中,已完成,受阻"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3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/>
  <cols>
    <col min="1" max="1" width="8" customWidth="1"/>
    <col min="2" max="2" width="9" customWidth="1"/>
    <col min="3" max="3" width="20" customWidth="1"/>
    <col min="4" max="4" width="52" customWidth="1"/>
    <col min="5" max="5" width="7" customWidth="1"/>
    <col min="6" max="6" width="6" customWidth="1"/>
    <col min="7" max="7" width="7" customWidth="1"/>
    <col min="8" max="8" width="28" customWidth="1"/>
    <col min="9" max="9" width="40" customWidth="1"/>
    <col min="10" max="10" width="14" customWidth="1"/>
    <col min="11" max="11" width="9" customWidth="1"/>
    <col min="12" max="13" width="8" customWidth="1"/>
  </cols>
  <sheetData>
    <row r="1" spans="1:13" ht="18">
      <c r="A1" s="1" t="s">
        <v>309</v>
      </c>
    </row>
    <row r="2" spans="1:13">
      <c r="A2" s="2" t="s">
        <v>310</v>
      </c>
    </row>
    <row r="3" spans="1:13">
      <c r="A3" s="24" t="s">
        <v>174</v>
      </c>
    </row>
    <row r="5" spans="1:13" ht="26">
      <c r="A5" s="10" t="s">
        <v>175</v>
      </c>
      <c r="B5" s="10" t="s">
        <v>176</v>
      </c>
      <c r="C5" s="10" t="s">
        <v>177</v>
      </c>
      <c r="D5" s="10" t="s">
        <v>178</v>
      </c>
      <c r="E5" s="10" t="s">
        <v>179</v>
      </c>
      <c r="F5" s="10" t="s">
        <v>180</v>
      </c>
      <c r="G5" s="10" t="s">
        <v>181</v>
      </c>
      <c r="H5" s="10" t="s">
        <v>182</v>
      </c>
      <c r="I5" s="10" t="s">
        <v>183</v>
      </c>
      <c r="J5" s="10" t="s">
        <v>184</v>
      </c>
      <c r="K5" s="10" t="s">
        <v>185</v>
      </c>
      <c r="L5" s="10" t="s">
        <v>186</v>
      </c>
      <c r="M5" s="10" t="s">
        <v>187</v>
      </c>
    </row>
    <row r="6" spans="1:13" ht="25">
      <c r="A6" s="25" t="s">
        <v>311</v>
      </c>
      <c r="B6" s="11" t="str">
        <f t="shared" ref="B6:B12" si="0">IF(INT(L6)+1=ROUNDUP(M6,0),"D"&amp;(INT(L6)+1),"D"&amp;(INT(L6)+1)&amp;"–D"&amp;ROUNDUP(M6,0))</f>
        <v>D1</v>
      </c>
      <c r="C6" s="6" t="s">
        <v>312</v>
      </c>
      <c r="D6" s="6" t="s">
        <v>313</v>
      </c>
      <c r="E6" s="8" t="s">
        <v>254</v>
      </c>
      <c r="F6" s="26">
        <v>0.5</v>
      </c>
      <c r="G6" s="27" t="s">
        <v>192</v>
      </c>
      <c r="H6" s="6" t="s">
        <v>314</v>
      </c>
      <c r="I6" s="6" t="s">
        <v>315</v>
      </c>
      <c r="J6" s="5" t="s">
        <v>316</v>
      </c>
      <c r="K6" s="28" t="s">
        <v>196</v>
      </c>
      <c r="L6" s="29">
        <v>0</v>
      </c>
      <c r="M6" s="29">
        <f t="shared" ref="M6:M12" si="1">L6+F6</f>
        <v>0.5</v>
      </c>
    </row>
    <row r="7" spans="1:13" ht="37.5">
      <c r="A7" s="25" t="s">
        <v>317</v>
      </c>
      <c r="B7" s="11" t="str">
        <f t="shared" si="0"/>
        <v>D1–D3</v>
      </c>
      <c r="C7" s="6" t="s">
        <v>114</v>
      </c>
      <c r="D7" s="6" t="s">
        <v>318</v>
      </c>
      <c r="E7" s="8" t="s">
        <v>254</v>
      </c>
      <c r="F7" s="26">
        <v>2.5</v>
      </c>
      <c r="G7" s="27" t="s">
        <v>192</v>
      </c>
      <c r="H7" s="6" t="s">
        <v>319</v>
      </c>
      <c r="I7" s="6" t="s">
        <v>320</v>
      </c>
      <c r="J7" s="5" t="s">
        <v>316</v>
      </c>
      <c r="K7" s="28" t="s">
        <v>196</v>
      </c>
      <c r="L7" s="29">
        <f t="shared" ref="L7:L12" si="2">M6</f>
        <v>0.5</v>
      </c>
      <c r="M7" s="29">
        <f t="shared" si="1"/>
        <v>3</v>
      </c>
    </row>
    <row r="8" spans="1:13" ht="37.5">
      <c r="A8" s="25" t="s">
        <v>321</v>
      </c>
      <c r="B8" s="11" t="str">
        <f t="shared" si="0"/>
        <v>D4–D5</v>
      </c>
      <c r="C8" s="6" t="s">
        <v>322</v>
      </c>
      <c r="D8" s="6" t="s">
        <v>323</v>
      </c>
      <c r="E8" s="8" t="s">
        <v>254</v>
      </c>
      <c r="F8" s="26">
        <v>2</v>
      </c>
      <c r="G8" s="27" t="s">
        <v>192</v>
      </c>
      <c r="H8" s="7" t="s">
        <v>324</v>
      </c>
      <c r="I8" s="6" t="s">
        <v>325</v>
      </c>
      <c r="J8" s="5" t="s">
        <v>326</v>
      </c>
      <c r="K8" s="28" t="s">
        <v>196</v>
      </c>
      <c r="L8" s="29">
        <f t="shared" si="2"/>
        <v>3</v>
      </c>
      <c r="M8" s="29">
        <f t="shared" si="1"/>
        <v>5</v>
      </c>
    </row>
    <row r="9" spans="1:13" ht="25">
      <c r="A9" s="25" t="s">
        <v>327</v>
      </c>
      <c r="B9" s="11" t="str">
        <f t="shared" si="0"/>
        <v>D6</v>
      </c>
      <c r="C9" s="6" t="s">
        <v>328</v>
      </c>
      <c r="D9" s="6" t="s">
        <v>329</v>
      </c>
      <c r="E9" s="8" t="s">
        <v>254</v>
      </c>
      <c r="F9" s="26">
        <v>1</v>
      </c>
      <c r="G9" s="27" t="s">
        <v>192</v>
      </c>
      <c r="H9" s="7" t="s">
        <v>330</v>
      </c>
      <c r="I9" s="7" t="s">
        <v>331</v>
      </c>
      <c r="J9" s="5" t="s">
        <v>316</v>
      </c>
      <c r="K9" s="28" t="s">
        <v>196</v>
      </c>
      <c r="L9" s="29">
        <f t="shared" si="2"/>
        <v>5</v>
      </c>
      <c r="M9" s="29">
        <f t="shared" si="1"/>
        <v>6</v>
      </c>
    </row>
    <row r="10" spans="1:13" ht="25">
      <c r="A10" s="25" t="s">
        <v>332</v>
      </c>
      <c r="B10" s="11" t="str">
        <f t="shared" si="0"/>
        <v>D7</v>
      </c>
      <c r="C10" s="6" t="s">
        <v>333</v>
      </c>
      <c r="D10" s="6" t="s">
        <v>334</v>
      </c>
      <c r="E10" s="8" t="s">
        <v>254</v>
      </c>
      <c r="F10" s="26">
        <v>1</v>
      </c>
      <c r="G10" s="27" t="s">
        <v>192</v>
      </c>
      <c r="H10" s="7" t="s">
        <v>317</v>
      </c>
      <c r="I10" s="7" t="s">
        <v>335</v>
      </c>
      <c r="J10" s="5" t="s">
        <v>336</v>
      </c>
      <c r="K10" s="28" t="s">
        <v>196</v>
      </c>
      <c r="L10" s="29">
        <f t="shared" si="2"/>
        <v>6</v>
      </c>
      <c r="M10" s="29">
        <f t="shared" si="1"/>
        <v>7</v>
      </c>
    </row>
    <row r="11" spans="1:13" ht="25">
      <c r="A11" s="25" t="s">
        <v>337</v>
      </c>
      <c r="B11" s="11" t="str">
        <f t="shared" si="0"/>
        <v>D8</v>
      </c>
      <c r="C11" s="6" t="s">
        <v>338</v>
      </c>
      <c r="D11" s="6" t="s">
        <v>339</v>
      </c>
      <c r="E11" s="8" t="s">
        <v>254</v>
      </c>
      <c r="F11" s="26">
        <v>0.5</v>
      </c>
      <c r="G11" s="31" t="s">
        <v>277</v>
      </c>
      <c r="H11" s="7" t="s">
        <v>317</v>
      </c>
      <c r="I11" s="6" t="s">
        <v>340</v>
      </c>
      <c r="J11" s="5" t="s">
        <v>341</v>
      </c>
      <c r="K11" s="28" t="s">
        <v>196</v>
      </c>
      <c r="L11" s="29">
        <f t="shared" si="2"/>
        <v>7</v>
      </c>
      <c r="M11" s="29">
        <f t="shared" si="1"/>
        <v>7.5</v>
      </c>
    </row>
    <row r="12" spans="1:13" ht="25">
      <c r="A12" s="25" t="s">
        <v>342</v>
      </c>
      <c r="B12" s="11" t="str">
        <f t="shared" si="0"/>
        <v>D8–D10</v>
      </c>
      <c r="C12" s="6" t="s">
        <v>343</v>
      </c>
      <c r="D12" s="6" t="s">
        <v>344</v>
      </c>
      <c r="E12" s="8" t="s">
        <v>230</v>
      </c>
      <c r="F12" s="26">
        <v>2.5</v>
      </c>
      <c r="G12" s="27" t="s">
        <v>192</v>
      </c>
      <c r="H12" s="6" t="s">
        <v>345</v>
      </c>
      <c r="I12" s="6" t="s">
        <v>346</v>
      </c>
      <c r="J12" s="5" t="s">
        <v>233</v>
      </c>
      <c r="K12" s="28" t="s">
        <v>196</v>
      </c>
      <c r="L12" s="29">
        <f t="shared" si="2"/>
        <v>7.5</v>
      </c>
      <c r="M12" s="29">
        <f t="shared" si="1"/>
        <v>10</v>
      </c>
    </row>
    <row r="13" spans="1:13">
      <c r="E13" s="15" t="s">
        <v>88</v>
      </c>
      <c r="F13" s="17">
        <f>SUM(F6:F12)</f>
        <v>10</v>
      </c>
    </row>
  </sheetData>
  <phoneticPr fontId="27" type="noConversion"/>
  <dataValidations count="1">
    <dataValidation type="list" allowBlank="1" sqref="K6:K12" xr:uid="{00000000-0002-0000-0600-000000000000}">
      <formula1>"未开始,进行中,已完成,受阻"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2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/>
  <cols>
    <col min="1" max="1" width="8" customWidth="1"/>
    <col min="2" max="2" width="9" customWidth="1"/>
    <col min="3" max="3" width="20" customWidth="1"/>
    <col min="4" max="4" width="52" customWidth="1"/>
    <col min="5" max="5" width="7" customWidth="1"/>
    <col min="6" max="6" width="6" customWidth="1"/>
    <col min="7" max="7" width="7" customWidth="1"/>
    <col min="8" max="8" width="28" customWidth="1"/>
    <col min="9" max="9" width="40" customWidth="1"/>
    <col min="10" max="10" width="14" customWidth="1"/>
    <col min="11" max="11" width="9" customWidth="1"/>
    <col min="12" max="13" width="8" customWidth="1"/>
  </cols>
  <sheetData>
    <row r="1" spans="1:13" ht="18">
      <c r="A1" s="1" t="s">
        <v>347</v>
      </c>
    </row>
    <row r="2" spans="1:13">
      <c r="A2" s="2" t="s">
        <v>348</v>
      </c>
    </row>
    <row r="3" spans="1:13">
      <c r="A3" s="24" t="s">
        <v>174</v>
      </c>
    </row>
    <row r="5" spans="1:13" ht="26">
      <c r="A5" s="10" t="s">
        <v>175</v>
      </c>
      <c r="B5" s="10" t="s">
        <v>176</v>
      </c>
      <c r="C5" s="10" t="s">
        <v>177</v>
      </c>
      <c r="D5" s="10" t="s">
        <v>178</v>
      </c>
      <c r="E5" s="10" t="s">
        <v>179</v>
      </c>
      <c r="F5" s="10" t="s">
        <v>180</v>
      </c>
      <c r="G5" s="10" t="s">
        <v>181</v>
      </c>
      <c r="H5" s="10" t="s">
        <v>182</v>
      </c>
      <c r="I5" s="10" t="s">
        <v>183</v>
      </c>
      <c r="J5" s="10" t="s">
        <v>184</v>
      </c>
      <c r="K5" s="10" t="s">
        <v>185</v>
      </c>
      <c r="L5" s="10" t="s">
        <v>186</v>
      </c>
      <c r="M5" s="10" t="s">
        <v>187</v>
      </c>
    </row>
    <row r="6" spans="1:13" ht="37.5">
      <c r="A6" s="25" t="s">
        <v>349</v>
      </c>
      <c r="B6" s="11" t="str">
        <f t="shared" ref="B6:B11" si="0">IF(INT(L6)+1=ROUNDUP(M6,0),"D"&amp;(INT(L6)+1),"D"&amp;(INT(L6)+1)&amp;"–D"&amp;ROUNDUP(M6,0))</f>
        <v>D1</v>
      </c>
      <c r="C6" s="6" t="s">
        <v>350</v>
      </c>
      <c r="D6" s="6" t="s">
        <v>351</v>
      </c>
      <c r="E6" s="8" t="s">
        <v>254</v>
      </c>
      <c r="F6" s="26">
        <v>1</v>
      </c>
      <c r="G6" s="27" t="s">
        <v>192</v>
      </c>
      <c r="H6" s="6" t="s">
        <v>352</v>
      </c>
      <c r="I6" s="7" t="s">
        <v>353</v>
      </c>
      <c r="J6" s="8" t="s">
        <v>257</v>
      </c>
      <c r="K6" s="28" t="s">
        <v>196</v>
      </c>
      <c r="L6" s="29">
        <v>0</v>
      </c>
      <c r="M6" s="29">
        <f t="shared" ref="M6:M11" si="1">L6+F6</f>
        <v>1</v>
      </c>
    </row>
    <row r="7" spans="1:13" ht="37.5">
      <c r="A7" s="25" t="s">
        <v>354</v>
      </c>
      <c r="B7" s="11" t="str">
        <f t="shared" si="0"/>
        <v>D2–D3</v>
      </c>
      <c r="C7" s="6" t="s">
        <v>355</v>
      </c>
      <c r="D7" s="6" t="s">
        <v>356</v>
      </c>
      <c r="E7" s="8" t="s">
        <v>254</v>
      </c>
      <c r="F7" s="26">
        <v>1.5</v>
      </c>
      <c r="G7" s="27" t="s">
        <v>192</v>
      </c>
      <c r="H7" s="7" t="s">
        <v>357</v>
      </c>
      <c r="I7" s="6" t="s">
        <v>358</v>
      </c>
      <c r="J7" s="5" t="s">
        <v>359</v>
      </c>
      <c r="K7" s="28" t="s">
        <v>196</v>
      </c>
      <c r="L7" s="29">
        <f>M6</f>
        <v>1</v>
      </c>
      <c r="M7" s="29">
        <f t="shared" si="1"/>
        <v>2.5</v>
      </c>
    </row>
    <row r="8" spans="1:13" ht="37.5">
      <c r="A8" s="25" t="s">
        <v>360</v>
      </c>
      <c r="B8" s="11" t="str">
        <f t="shared" si="0"/>
        <v>D3–D5</v>
      </c>
      <c r="C8" s="6" t="s">
        <v>361</v>
      </c>
      <c r="D8" s="6" t="s">
        <v>362</v>
      </c>
      <c r="E8" s="8" t="s">
        <v>254</v>
      </c>
      <c r="F8" s="26">
        <v>2</v>
      </c>
      <c r="G8" s="27" t="s">
        <v>192</v>
      </c>
      <c r="H8" s="7" t="s">
        <v>363</v>
      </c>
      <c r="I8" s="6" t="s">
        <v>364</v>
      </c>
      <c r="J8" s="5" t="s">
        <v>365</v>
      </c>
      <c r="K8" s="28" t="s">
        <v>196</v>
      </c>
      <c r="L8" s="29">
        <f>M7</f>
        <v>2.5</v>
      </c>
      <c r="M8" s="29">
        <f t="shared" si="1"/>
        <v>4.5</v>
      </c>
    </row>
    <row r="9" spans="1:13" ht="37.5">
      <c r="A9" s="25" t="s">
        <v>366</v>
      </c>
      <c r="B9" s="11" t="str">
        <f t="shared" si="0"/>
        <v>D5–D6</v>
      </c>
      <c r="C9" s="6" t="s">
        <v>367</v>
      </c>
      <c r="D9" s="6" t="s">
        <v>368</v>
      </c>
      <c r="E9" s="8" t="s">
        <v>254</v>
      </c>
      <c r="F9" s="26">
        <v>1.5</v>
      </c>
      <c r="G9" s="31" t="s">
        <v>277</v>
      </c>
      <c r="H9" s="7" t="s">
        <v>363</v>
      </c>
      <c r="I9" s="6" t="s">
        <v>369</v>
      </c>
      <c r="J9" s="5" t="s">
        <v>370</v>
      </c>
      <c r="K9" s="28" t="s">
        <v>196</v>
      </c>
      <c r="L9" s="29">
        <f>M8</f>
        <v>4.5</v>
      </c>
      <c r="M9" s="29">
        <f t="shared" si="1"/>
        <v>6</v>
      </c>
    </row>
    <row r="10" spans="1:13" ht="37.5">
      <c r="A10" s="25" t="s">
        <v>371</v>
      </c>
      <c r="B10" s="11" t="str">
        <f t="shared" si="0"/>
        <v>D7–D8</v>
      </c>
      <c r="C10" s="6" t="s">
        <v>372</v>
      </c>
      <c r="D10" s="6" t="s">
        <v>373</v>
      </c>
      <c r="E10" s="8" t="s">
        <v>254</v>
      </c>
      <c r="F10" s="26">
        <v>1.5</v>
      </c>
      <c r="G10" s="31" t="s">
        <v>277</v>
      </c>
      <c r="H10" s="7" t="s">
        <v>374</v>
      </c>
      <c r="I10" s="6" t="s">
        <v>375</v>
      </c>
      <c r="J10" s="5" t="s">
        <v>376</v>
      </c>
      <c r="K10" s="28" t="s">
        <v>196</v>
      </c>
      <c r="L10" s="29">
        <f>M9</f>
        <v>6</v>
      </c>
      <c r="M10" s="29">
        <f t="shared" si="1"/>
        <v>7.5</v>
      </c>
    </row>
    <row r="11" spans="1:13" ht="25">
      <c r="A11" s="25" t="s">
        <v>377</v>
      </c>
      <c r="B11" s="11" t="str">
        <f t="shared" si="0"/>
        <v>D8–D10</v>
      </c>
      <c r="C11" s="6" t="s">
        <v>378</v>
      </c>
      <c r="D11" s="6" t="s">
        <v>379</v>
      </c>
      <c r="E11" s="8" t="s">
        <v>230</v>
      </c>
      <c r="F11" s="26">
        <v>2.5</v>
      </c>
      <c r="G11" s="27" t="s">
        <v>192</v>
      </c>
      <c r="H11" s="6" t="s">
        <v>380</v>
      </c>
      <c r="I11" s="6" t="s">
        <v>381</v>
      </c>
      <c r="J11" s="5" t="s">
        <v>233</v>
      </c>
      <c r="K11" s="28" t="s">
        <v>196</v>
      </c>
      <c r="L11" s="29">
        <f>M10</f>
        <v>7.5</v>
      </c>
      <c r="M11" s="29">
        <f t="shared" si="1"/>
        <v>10</v>
      </c>
    </row>
    <row r="12" spans="1:13">
      <c r="E12" s="15" t="s">
        <v>88</v>
      </c>
      <c r="F12" s="17">
        <f>SUM(F6:F11)</f>
        <v>10</v>
      </c>
    </row>
  </sheetData>
  <phoneticPr fontId="27" type="noConversion"/>
  <dataValidations count="1">
    <dataValidation type="list" allowBlank="1" sqref="K6:K11" xr:uid="{00000000-0002-0000-0700-000000000000}">
      <formula1>"未开始,进行中,已完成,受阻"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3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/>
  <cols>
    <col min="1" max="1" width="8" customWidth="1"/>
    <col min="2" max="2" width="9" customWidth="1"/>
    <col min="3" max="3" width="20" customWidth="1"/>
    <col min="4" max="4" width="52" customWidth="1"/>
    <col min="5" max="5" width="7" customWidth="1"/>
    <col min="6" max="6" width="6" customWidth="1"/>
    <col min="7" max="7" width="7" customWidth="1"/>
    <col min="8" max="8" width="28" customWidth="1"/>
    <col min="9" max="9" width="40" customWidth="1"/>
    <col min="10" max="10" width="14" customWidth="1"/>
    <col min="11" max="11" width="9" customWidth="1"/>
    <col min="12" max="13" width="8" customWidth="1"/>
  </cols>
  <sheetData>
    <row r="1" spans="1:13" ht="18">
      <c r="A1" s="1" t="s">
        <v>382</v>
      </c>
    </row>
    <row r="2" spans="1:13">
      <c r="A2" s="2" t="s">
        <v>383</v>
      </c>
    </row>
    <row r="3" spans="1:13">
      <c r="A3" s="24" t="s">
        <v>174</v>
      </c>
    </row>
    <row r="5" spans="1:13" ht="26">
      <c r="A5" s="10" t="s">
        <v>175</v>
      </c>
      <c r="B5" s="10" t="s">
        <v>176</v>
      </c>
      <c r="C5" s="10" t="s">
        <v>177</v>
      </c>
      <c r="D5" s="10" t="s">
        <v>178</v>
      </c>
      <c r="E5" s="10" t="s">
        <v>179</v>
      </c>
      <c r="F5" s="10" t="s">
        <v>180</v>
      </c>
      <c r="G5" s="10" t="s">
        <v>181</v>
      </c>
      <c r="H5" s="10" t="s">
        <v>182</v>
      </c>
      <c r="I5" s="10" t="s">
        <v>183</v>
      </c>
      <c r="J5" s="10" t="s">
        <v>184</v>
      </c>
      <c r="K5" s="10" t="s">
        <v>185</v>
      </c>
      <c r="L5" s="10" t="s">
        <v>186</v>
      </c>
      <c r="M5" s="10" t="s">
        <v>187</v>
      </c>
    </row>
    <row r="6" spans="1:13" ht="25">
      <c r="A6" s="25" t="s">
        <v>384</v>
      </c>
      <c r="B6" s="11" t="str">
        <f t="shared" ref="B6:B12" si="0">IF(INT(L6)+1=ROUNDUP(M6,0),"D"&amp;(INT(L6)+1),"D"&amp;(INT(L6)+1)&amp;"–D"&amp;ROUNDUP(M6,0))</f>
        <v>D1</v>
      </c>
      <c r="C6" s="6" t="s">
        <v>385</v>
      </c>
      <c r="D6" s="6" t="s">
        <v>386</v>
      </c>
      <c r="E6" s="8" t="s">
        <v>254</v>
      </c>
      <c r="F6" s="26">
        <v>1</v>
      </c>
      <c r="G6" s="27" t="s">
        <v>192</v>
      </c>
      <c r="H6" s="7" t="s">
        <v>349</v>
      </c>
      <c r="I6" s="6" t="s">
        <v>387</v>
      </c>
      <c r="J6" s="5" t="s">
        <v>388</v>
      </c>
      <c r="K6" s="28" t="s">
        <v>196</v>
      </c>
      <c r="L6" s="29">
        <v>0</v>
      </c>
      <c r="M6" s="29">
        <f t="shared" ref="M6:M12" si="1">L6+F6</f>
        <v>1</v>
      </c>
    </row>
    <row r="7" spans="1:13" ht="25">
      <c r="A7" s="25" t="s">
        <v>389</v>
      </c>
      <c r="B7" s="11" t="str">
        <f t="shared" si="0"/>
        <v>D2</v>
      </c>
      <c r="C7" s="6" t="s">
        <v>116</v>
      </c>
      <c r="D7" s="6" t="s">
        <v>390</v>
      </c>
      <c r="E7" s="8" t="s">
        <v>254</v>
      </c>
      <c r="F7" s="26">
        <v>1</v>
      </c>
      <c r="G7" s="27" t="s">
        <v>192</v>
      </c>
      <c r="H7" s="7" t="s">
        <v>384</v>
      </c>
      <c r="I7" s="6" t="s">
        <v>391</v>
      </c>
      <c r="J7" s="5" t="s">
        <v>392</v>
      </c>
      <c r="K7" s="28" t="s">
        <v>196</v>
      </c>
      <c r="L7" s="29">
        <f t="shared" ref="L7:L12" si="2">M6</f>
        <v>1</v>
      </c>
      <c r="M7" s="29">
        <f t="shared" si="1"/>
        <v>2</v>
      </c>
    </row>
    <row r="8" spans="1:13" ht="25">
      <c r="A8" s="25" t="s">
        <v>393</v>
      </c>
      <c r="B8" s="11" t="str">
        <f t="shared" si="0"/>
        <v>D3–D4</v>
      </c>
      <c r="C8" s="6" t="s">
        <v>394</v>
      </c>
      <c r="D8" s="6" t="s">
        <v>395</v>
      </c>
      <c r="E8" s="8" t="s">
        <v>254</v>
      </c>
      <c r="F8" s="26">
        <v>2</v>
      </c>
      <c r="G8" s="27" t="s">
        <v>192</v>
      </c>
      <c r="H8" s="7" t="s">
        <v>389</v>
      </c>
      <c r="I8" s="6" t="s">
        <v>396</v>
      </c>
      <c r="J8" s="5" t="s">
        <v>397</v>
      </c>
      <c r="K8" s="28" t="s">
        <v>196</v>
      </c>
      <c r="L8" s="29">
        <f t="shared" si="2"/>
        <v>2</v>
      </c>
      <c r="M8" s="29">
        <f t="shared" si="1"/>
        <v>4</v>
      </c>
    </row>
    <row r="9" spans="1:13" ht="25">
      <c r="A9" s="25" t="s">
        <v>398</v>
      </c>
      <c r="B9" s="11" t="str">
        <f t="shared" si="0"/>
        <v>D5</v>
      </c>
      <c r="C9" s="6" t="s">
        <v>399</v>
      </c>
      <c r="D9" s="6" t="s">
        <v>400</v>
      </c>
      <c r="E9" s="8" t="s">
        <v>254</v>
      </c>
      <c r="F9" s="26">
        <v>1</v>
      </c>
      <c r="G9" s="31" t="s">
        <v>277</v>
      </c>
      <c r="H9" s="7" t="s">
        <v>401</v>
      </c>
      <c r="I9" s="6" t="s">
        <v>402</v>
      </c>
      <c r="J9" s="5" t="s">
        <v>403</v>
      </c>
      <c r="K9" s="28" t="s">
        <v>196</v>
      </c>
      <c r="L9" s="29">
        <f t="shared" si="2"/>
        <v>4</v>
      </c>
      <c r="M9" s="29">
        <f t="shared" si="1"/>
        <v>5</v>
      </c>
    </row>
    <row r="10" spans="1:13" ht="50">
      <c r="A10" s="25" t="s">
        <v>404</v>
      </c>
      <c r="B10" s="11" t="str">
        <f t="shared" si="0"/>
        <v>D6–D7</v>
      </c>
      <c r="C10" s="6" t="s">
        <v>405</v>
      </c>
      <c r="D10" s="6" t="s">
        <v>406</v>
      </c>
      <c r="E10" s="8" t="s">
        <v>254</v>
      </c>
      <c r="F10" s="26">
        <v>2</v>
      </c>
      <c r="G10" s="31" t="s">
        <v>277</v>
      </c>
      <c r="H10" s="6" t="s">
        <v>407</v>
      </c>
      <c r="I10" s="6" t="s">
        <v>408</v>
      </c>
      <c r="J10" s="5" t="s">
        <v>409</v>
      </c>
      <c r="K10" s="28" t="s">
        <v>196</v>
      </c>
      <c r="L10" s="29">
        <f t="shared" si="2"/>
        <v>5</v>
      </c>
      <c r="M10" s="29">
        <f t="shared" si="1"/>
        <v>7</v>
      </c>
    </row>
    <row r="11" spans="1:13" ht="25">
      <c r="A11" s="25" t="s">
        <v>410</v>
      </c>
      <c r="B11" s="11" t="str">
        <f t="shared" si="0"/>
        <v>D8</v>
      </c>
      <c r="C11" s="6" t="s">
        <v>411</v>
      </c>
      <c r="D11" s="6" t="s">
        <v>412</v>
      </c>
      <c r="E11" s="8" t="s">
        <v>254</v>
      </c>
      <c r="F11" s="26">
        <v>1</v>
      </c>
      <c r="G11" s="31" t="s">
        <v>277</v>
      </c>
      <c r="H11" s="7" t="s">
        <v>393</v>
      </c>
      <c r="I11" s="6" t="s">
        <v>413</v>
      </c>
      <c r="J11" s="5" t="s">
        <v>414</v>
      </c>
      <c r="K11" s="28" t="s">
        <v>196</v>
      </c>
      <c r="L11" s="29">
        <f t="shared" si="2"/>
        <v>7</v>
      </c>
      <c r="M11" s="29">
        <f t="shared" si="1"/>
        <v>8</v>
      </c>
    </row>
    <row r="12" spans="1:13" ht="25">
      <c r="A12" s="25" t="s">
        <v>415</v>
      </c>
      <c r="B12" s="11" t="str">
        <f t="shared" si="0"/>
        <v>D9–D10</v>
      </c>
      <c r="C12" s="6" t="s">
        <v>416</v>
      </c>
      <c r="D12" s="6" t="s">
        <v>417</v>
      </c>
      <c r="E12" s="8" t="s">
        <v>230</v>
      </c>
      <c r="F12" s="26">
        <v>2</v>
      </c>
      <c r="G12" s="27" t="s">
        <v>192</v>
      </c>
      <c r="H12" s="6" t="s">
        <v>418</v>
      </c>
      <c r="I12" s="6" t="s">
        <v>419</v>
      </c>
      <c r="J12" s="5" t="s">
        <v>233</v>
      </c>
      <c r="K12" s="28" t="s">
        <v>196</v>
      </c>
      <c r="L12" s="29">
        <f t="shared" si="2"/>
        <v>8</v>
      </c>
      <c r="M12" s="29">
        <f t="shared" si="1"/>
        <v>10</v>
      </c>
    </row>
    <row r="13" spans="1:13">
      <c r="E13" s="15" t="s">
        <v>88</v>
      </c>
      <c r="F13" s="17">
        <f>SUM(F6:F12)</f>
        <v>10</v>
      </c>
    </row>
  </sheetData>
  <phoneticPr fontId="27" type="noConversion"/>
  <dataValidations count="1">
    <dataValidation type="list" allowBlank="1" sqref="K6:K12" xr:uid="{00000000-0002-0000-0800-000000000000}">
      <formula1>"未开始,进行中,已完成,受阻"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3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328125" defaultRowHeight="14.5"/>
  <cols>
    <col min="1" max="1" width="8" customWidth="1"/>
    <col min="2" max="2" width="9" customWidth="1"/>
    <col min="3" max="3" width="20" customWidth="1"/>
    <col min="4" max="4" width="52" customWidth="1"/>
    <col min="5" max="5" width="7" customWidth="1"/>
    <col min="6" max="6" width="6" customWidth="1"/>
    <col min="7" max="7" width="7" customWidth="1"/>
    <col min="8" max="8" width="28" customWidth="1"/>
    <col min="9" max="9" width="40" customWidth="1"/>
    <col min="10" max="10" width="14" customWidth="1"/>
    <col min="11" max="11" width="9" customWidth="1"/>
    <col min="12" max="13" width="8" customWidth="1"/>
  </cols>
  <sheetData>
    <row r="1" spans="1:13" ht="18">
      <c r="A1" s="1" t="s">
        <v>420</v>
      </c>
    </row>
    <row r="2" spans="1:13">
      <c r="A2" s="2" t="s">
        <v>421</v>
      </c>
    </row>
    <row r="3" spans="1:13">
      <c r="A3" s="24" t="s">
        <v>174</v>
      </c>
    </row>
    <row r="5" spans="1:13" ht="26">
      <c r="A5" s="10" t="s">
        <v>175</v>
      </c>
      <c r="B5" s="10" t="s">
        <v>176</v>
      </c>
      <c r="C5" s="10" t="s">
        <v>177</v>
      </c>
      <c r="D5" s="10" t="s">
        <v>178</v>
      </c>
      <c r="E5" s="10" t="s">
        <v>179</v>
      </c>
      <c r="F5" s="10" t="s">
        <v>180</v>
      </c>
      <c r="G5" s="10" t="s">
        <v>181</v>
      </c>
      <c r="H5" s="10" t="s">
        <v>182</v>
      </c>
      <c r="I5" s="10" t="s">
        <v>183</v>
      </c>
      <c r="J5" s="10" t="s">
        <v>184</v>
      </c>
      <c r="K5" s="10" t="s">
        <v>185</v>
      </c>
      <c r="L5" s="10" t="s">
        <v>186</v>
      </c>
      <c r="M5" s="10" t="s">
        <v>187</v>
      </c>
    </row>
    <row r="6" spans="1:13" ht="25">
      <c r="A6" s="25" t="s">
        <v>422</v>
      </c>
      <c r="B6" s="11" t="str">
        <f t="shared" ref="B6:B12" si="0">IF(INT(L6)+1=ROUNDUP(M6,0),"D"&amp;(INT(L6)+1),"D"&amp;(INT(L6)+1)&amp;"–D"&amp;ROUNDUP(M6,0))</f>
        <v>D1</v>
      </c>
      <c r="C6" s="6" t="s">
        <v>423</v>
      </c>
      <c r="D6" s="6" t="s">
        <v>424</v>
      </c>
      <c r="E6" s="8" t="s">
        <v>191</v>
      </c>
      <c r="F6" s="26">
        <v>0.5</v>
      </c>
      <c r="G6" s="27" t="s">
        <v>192</v>
      </c>
      <c r="H6" s="6" t="s">
        <v>80</v>
      </c>
      <c r="I6" s="6" t="s">
        <v>425</v>
      </c>
      <c r="J6" s="5" t="s">
        <v>233</v>
      </c>
      <c r="K6" s="28" t="s">
        <v>196</v>
      </c>
      <c r="L6" s="29">
        <v>0</v>
      </c>
      <c r="M6" s="29">
        <f t="shared" ref="M6:M12" si="1">L6+F6</f>
        <v>0.5</v>
      </c>
    </row>
    <row r="7" spans="1:13" ht="37.5">
      <c r="A7" s="25" t="s">
        <v>426</v>
      </c>
      <c r="B7" s="11" t="str">
        <f t="shared" si="0"/>
        <v>D1–D3</v>
      </c>
      <c r="C7" s="6" t="s">
        <v>427</v>
      </c>
      <c r="D7" s="6" t="s">
        <v>428</v>
      </c>
      <c r="E7" s="8" t="s">
        <v>191</v>
      </c>
      <c r="F7" s="26">
        <v>2.5</v>
      </c>
      <c r="G7" s="27" t="s">
        <v>192</v>
      </c>
      <c r="H7" s="6" t="s">
        <v>429</v>
      </c>
      <c r="I7" s="6" t="s">
        <v>430</v>
      </c>
      <c r="J7" s="5" t="s">
        <v>431</v>
      </c>
      <c r="K7" s="28" t="s">
        <v>196</v>
      </c>
      <c r="L7" s="29">
        <f t="shared" ref="L7:L12" si="2">M6</f>
        <v>0.5</v>
      </c>
      <c r="M7" s="29">
        <f t="shared" si="1"/>
        <v>3</v>
      </c>
    </row>
    <row r="8" spans="1:13" ht="37.5">
      <c r="A8" s="25" t="s">
        <v>432</v>
      </c>
      <c r="B8" s="11" t="str">
        <f t="shared" si="0"/>
        <v>D4–D6</v>
      </c>
      <c r="C8" s="6" t="s">
        <v>433</v>
      </c>
      <c r="D8" s="6" t="s">
        <v>434</v>
      </c>
      <c r="E8" s="8" t="s">
        <v>254</v>
      </c>
      <c r="F8" s="26">
        <v>2.5</v>
      </c>
      <c r="G8" s="31" t="s">
        <v>277</v>
      </c>
      <c r="H8" s="6" t="s">
        <v>435</v>
      </c>
      <c r="I8" s="6" t="s">
        <v>436</v>
      </c>
      <c r="J8" s="5" t="s">
        <v>437</v>
      </c>
      <c r="K8" s="28" t="s">
        <v>196</v>
      </c>
      <c r="L8" s="29">
        <f t="shared" si="2"/>
        <v>3</v>
      </c>
      <c r="M8" s="29">
        <f t="shared" si="1"/>
        <v>5.5</v>
      </c>
    </row>
    <row r="9" spans="1:13" ht="25">
      <c r="A9" s="25" t="s">
        <v>438</v>
      </c>
      <c r="B9" s="11" t="str">
        <f t="shared" si="0"/>
        <v>D6</v>
      </c>
      <c r="C9" s="6" t="s">
        <v>439</v>
      </c>
      <c r="D9" s="6" t="s">
        <v>440</v>
      </c>
      <c r="E9" s="8" t="s">
        <v>254</v>
      </c>
      <c r="F9" s="26">
        <v>0.5</v>
      </c>
      <c r="G9" s="31" t="s">
        <v>277</v>
      </c>
      <c r="H9" s="6" t="s">
        <v>441</v>
      </c>
      <c r="I9" s="6" t="s">
        <v>442</v>
      </c>
      <c r="J9" s="5" t="s">
        <v>443</v>
      </c>
      <c r="K9" s="28" t="s">
        <v>196</v>
      </c>
      <c r="L9" s="29">
        <f t="shared" si="2"/>
        <v>5.5</v>
      </c>
      <c r="M9" s="29">
        <f t="shared" si="1"/>
        <v>6</v>
      </c>
    </row>
    <row r="10" spans="1:13" ht="37.5">
      <c r="A10" s="25" t="s">
        <v>444</v>
      </c>
      <c r="B10" s="11" t="str">
        <f t="shared" si="0"/>
        <v>D7–D8</v>
      </c>
      <c r="C10" s="7" t="s">
        <v>445</v>
      </c>
      <c r="D10" s="7" t="s">
        <v>446</v>
      </c>
      <c r="E10" s="8" t="s">
        <v>191</v>
      </c>
      <c r="F10" s="26">
        <v>1.5</v>
      </c>
      <c r="G10" s="31" t="s">
        <v>277</v>
      </c>
      <c r="H10" s="6" t="s">
        <v>447</v>
      </c>
      <c r="I10" s="6" t="s">
        <v>448</v>
      </c>
      <c r="J10" s="5" t="s">
        <v>449</v>
      </c>
      <c r="K10" s="28" t="s">
        <v>196</v>
      </c>
      <c r="L10" s="29">
        <f t="shared" si="2"/>
        <v>6</v>
      </c>
      <c r="M10" s="29">
        <f t="shared" si="1"/>
        <v>7.5</v>
      </c>
    </row>
    <row r="11" spans="1:13" ht="37.5">
      <c r="A11" s="25" t="s">
        <v>450</v>
      </c>
      <c r="B11" s="11" t="str">
        <f t="shared" si="0"/>
        <v>D8–D9</v>
      </c>
      <c r="C11" s="6" t="s">
        <v>451</v>
      </c>
      <c r="D11" s="6" t="s">
        <v>452</v>
      </c>
      <c r="E11" s="8" t="s">
        <v>191</v>
      </c>
      <c r="F11" s="26">
        <v>1</v>
      </c>
      <c r="G11" s="31" t="s">
        <v>277</v>
      </c>
      <c r="H11" s="6" t="s">
        <v>453</v>
      </c>
      <c r="I11" s="6" t="s">
        <v>454</v>
      </c>
      <c r="J11" s="5" t="s">
        <v>455</v>
      </c>
      <c r="K11" s="28" t="s">
        <v>196</v>
      </c>
      <c r="L11" s="29">
        <f t="shared" si="2"/>
        <v>7.5</v>
      </c>
      <c r="M11" s="29">
        <f t="shared" si="1"/>
        <v>8.5</v>
      </c>
    </row>
    <row r="12" spans="1:13">
      <c r="A12" s="25" t="s">
        <v>456</v>
      </c>
      <c r="B12" s="11" t="str">
        <f t="shared" si="0"/>
        <v>D9–D10</v>
      </c>
      <c r="C12" s="6" t="s">
        <v>457</v>
      </c>
      <c r="D12" s="6" t="s">
        <v>458</v>
      </c>
      <c r="E12" s="8" t="s">
        <v>230</v>
      </c>
      <c r="F12" s="26">
        <v>1.5</v>
      </c>
      <c r="G12" s="27" t="s">
        <v>192</v>
      </c>
      <c r="H12" s="6" t="s">
        <v>242</v>
      </c>
      <c r="I12" s="6" t="s">
        <v>459</v>
      </c>
      <c r="J12" s="5" t="s">
        <v>233</v>
      </c>
      <c r="K12" s="28" t="s">
        <v>196</v>
      </c>
      <c r="L12" s="29">
        <f t="shared" si="2"/>
        <v>8.5</v>
      </c>
      <c r="M12" s="29">
        <f t="shared" si="1"/>
        <v>10</v>
      </c>
    </row>
    <row r="13" spans="1:13">
      <c r="E13" s="15" t="s">
        <v>88</v>
      </c>
      <c r="F13" s="17">
        <f>SUM(F6:F12)</f>
        <v>10</v>
      </c>
    </row>
  </sheetData>
  <phoneticPr fontId="27" type="noConversion"/>
  <dataValidations count="1">
    <dataValidation type="list" allowBlank="1" sqref="K6:K12" xr:uid="{00000000-0002-0000-0900-000000000000}">
      <formula1>"未开始,进行中,已完成,受阻"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3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328125" defaultRowHeight="14.5"/>
  <cols>
    <col min="1" max="1" width="7" customWidth="1"/>
    <col min="2" max="2" width="14" customWidth="1"/>
    <col min="3" max="3" width="20" customWidth="1"/>
    <col min="4" max="4" width="52" customWidth="1"/>
    <col min="5" max="5" width="14" customWidth="1"/>
    <col min="6" max="7" width="9" customWidth="1"/>
    <col min="8" max="8" width="18" customWidth="1"/>
    <col min="9" max="10" width="7" customWidth="1"/>
    <col min="11" max="12" width="14" customWidth="1"/>
    <col min="13" max="13" width="9" customWidth="1"/>
    <col min="14" max="14" width="8" customWidth="1"/>
    <col min="15" max="15" width="46" customWidth="1"/>
  </cols>
  <sheetData>
    <row r="1" spans="1:15" ht="18">
      <c r="A1" s="1" t="s">
        <v>460</v>
      </c>
    </row>
    <row r="2" spans="1:15">
      <c r="A2" s="2" t="s">
        <v>461</v>
      </c>
    </row>
    <row r="4" spans="1:15" ht="26">
      <c r="A4" s="10" t="s">
        <v>462</v>
      </c>
      <c r="B4" s="10" t="s">
        <v>463</v>
      </c>
      <c r="C4" s="10" t="s">
        <v>464</v>
      </c>
      <c r="D4" s="10" t="s">
        <v>465</v>
      </c>
      <c r="E4" s="10" t="s">
        <v>466</v>
      </c>
      <c r="F4" s="10" t="s">
        <v>467</v>
      </c>
      <c r="G4" s="10" t="s">
        <v>468</v>
      </c>
      <c r="H4" s="10" t="s">
        <v>469</v>
      </c>
      <c r="I4" s="10" t="s">
        <v>470</v>
      </c>
      <c r="J4" s="10" t="s">
        <v>181</v>
      </c>
      <c r="K4" s="10" t="s">
        <v>471</v>
      </c>
      <c r="L4" s="10" t="s">
        <v>472</v>
      </c>
      <c r="M4" s="10" t="s">
        <v>473</v>
      </c>
      <c r="N4" s="10" t="s">
        <v>474</v>
      </c>
      <c r="O4" s="10" t="s">
        <v>475</v>
      </c>
    </row>
    <row r="5" spans="1:15" ht="50">
      <c r="A5" s="33" t="s">
        <v>195</v>
      </c>
      <c r="B5" s="34" t="s">
        <v>476</v>
      </c>
      <c r="C5" s="35" t="s">
        <v>477</v>
      </c>
      <c r="D5" s="34" t="s">
        <v>478</v>
      </c>
      <c r="E5" s="34" t="s">
        <v>479</v>
      </c>
      <c r="F5" s="36" t="s">
        <v>480</v>
      </c>
      <c r="G5" s="36" t="s">
        <v>481</v>
      </c>
      <c r="H5" s="34" t="s">
        <v>482</v>
      </c>
      <c r="I5" s="37" t="s">
        <v>19</v>
      </c>
      <c r="J5" s="27" t="s">
        <v>192</v>
      </c>
      <c r="K5" s="38" t="s">
        <v>263</v>
      </c>
      <c r="L5" s="38" t="s">
        <v>188</v>
      </c>
      <c r="M5" s="38" t="s">
        <v>125</v>
      </c>
      <c r="N5" s="38">
        <f>COUNTIF(原244功能核对!$G$5:$G$248,A5)</f>
        <v>0</v>
      </c>
      <c r="O5" s="34" t="s">
        <v>483</v>
      </c>
    </row>
    <row r="6" spans="1:15" ht="25">
      <c r="A6" s="33" t="s">
        <v>273</v>
      </c>
      <c r="B6" s="34" t="s">
        <v>476</v>
      </c>
      <c r="C6" s="35" t="s">
        <v>484</v>
      </c>
      <c r="D6" s="34" t="s">
        <v>485</v>
      </c>
      <c r="E6" s="34" t="s">
        <v>486</v>
      </c>
      <c r="F6" s="36" t="s">
        <v>480</v>
      </c>
      <c r="G6" s="36" t="s">
        <v>480</v>
      </c>
      <c r="H6" s="34" t="s">
        <v>487</v>
      </c>
      <c r="I6" s="37" t="s">
        <v>21</v>
      </c>
      <c r="J6" s="27" t="s">
        <v>192</v>
      </c>
      <c r="K6" s="38" t="s">
        <v>268</v>
      </c>
      <c r="L6" s="38" t="s">
        <v>268</v>
      </c>
      <c r="M6" s="38" t="s">
        <v>125</v>
      </c>
      <c r="N6" s="38">
        <f>COUNTIF(原244功能核对!$G$5:$G$248,A6)</f>
        <v>0</v>
      </c>
      <c r="O6" s="34" t="s">
        <v>488</v>
      </c>
    </row>
    <row r="7" spans="1:15" ht="25">
      <c r="A7" s="33" t="s">
        <v>489</v>
      </c>
      <c r="B7" s="34" t="s">
        <v>476</v>
      </c>
      <c r="C7" s="35" t="s">
        <v>490</v>
      </c>
      <c r="D7" s="34" t="s">
        <v>491</v>
      </c>
      <c r="E7" s="34" t="s">
        <v>492</v>
      </c>
      <c r="F7" s="36" t="s">
        <v>493</v>
      </c>
      <c r="G7" s="36" t="s">
        <v>481</v>
      </c>
      <c r="H7" s="34" t="s">
        <v>494</v>
      </c>
      <c r="I7" s="37" t="s">
        <v>19</v>
      </c>
      <c r="J7" s="27" t="s">
        <v>192</v>
      </c>
      <c r="K7" s="38" t="s">
        <v>321</v>
      </c>
      <c r="L7" s="38" t="s">
        <v>197</v>
      </c>
      <c r="M7" s="38" t="s">
        <v>132</v>
      </c>
      <c r="N7" s="38">
        <f>COUNTIF(原244功能核对!$G$5:$G$248,A7)</f>
        <v>0</v>
      </c>
      <c r="O7" s="39" t="s">
        <v>495</v>
      </c>
    </row>
    <row r="8" spans="1:15" ht="25">
      <c r="A8" s="33" t="s">
        <v>262</v>
      </c>
      <c r="B8" s="34" t="s">
        <v>476</v>
      </c>
      <c r="C8" s="35" t="s">
        <v>259</v>
      </c>
      <c r="D8" s="34" t="s">
        <v>496</v>
      </c>
      <c r="E8" s="34" t="s">
        <v>479</v>
      </c>
      <c r="F8" s="36" t="s">
        <v>480</v>
      </c>
      <c r="G8" s="36" t="s">
        <v>481</v>
      </c>
      <c r="H8" s="34" t="s">
        <v>497</v>
      </c>
      <c r="I8" s="37" t="s">
        <v>19</v>
      </c>
      <c r="J8" s="27" t="s">
        <v>192</v>
      </c>
      <c r="K8" s="38" t="s">
        <v>258</v>
      </c>
      <c r="L8" s="38" t="s">
        <v>197</v>
      </c>
      <c r="M8" s="38" t="s">
        <v>111</v>
      </c>
      <c r="N8" s="38">
        <f>COUNTIF(原244功能核对!$G$5:$G$248,A8)</f>
        <v>0</v>
      </c>
      <c r="O8" s="34" t="s">
        <v>498</v>
      </c>
    </row>
    <row r="9" spans="1:15">
      <c r="A9" s="40" t="s">
        <v>499</v>
      </c>
      <c r="B9" s="6" t="s">
        <v>476</v>
      </c>
      <c r="C9" s="12" t="s">
        <v>500</v>
      </c>
      <c r="D9" s="6" t="s">
        <v>501</v>
      </c>
      <c r="E9" s="6" t="s">
        <v>502</v>
      </c>
      <c r="F9" s="41" t="s">
        <v>480</v>
      </c>
      <c r="G9" s="41" t="s">
        <v>480</v>
      </c>
      <c r="H9" s="6" t="s">
        <v>487</v>
      </c>
      <c r="I9" s="42" t="s">
        <v>23</v>
      </c>
      <c r="J9" s="31" t="s">
        <v>277</v>
      </c>
      <c r="K9" s="5" t="s">
        <v>274</v>
      </c>
      <c r="L9" s="5" t="s">
        <v>274</v>
      </c>
      <c r="M9" s="5" t="s">
        <v>132</v>
      </c>
      <c r="N9" s="5">
        <f>COUNTIF(原244功能核对!$G$5:$G$248,A9)</f>
        <v>1</v>
      </c>
      <c r="O9" s="6" t="s">
        <v>503</v>
      </c>
    </row>
    <row r="10" spans="1:15">
      <c r="A10" s="40" t="s">
        <v>504</v>
      </c>
      <c r="B10" s="6" t="s">
        <v>476</v>
      </c>
      <c r="C10" s="12" t="s">
        <v>505</v>
      </c>
      <c r="D10" s="6" t="s">
        <v>506</v>
      </c>
      <c r="E10" s="6" t="s">
        <v>507</v>
      </c>
      <c r="F10" s="41" t="s">
        <v>480</v>
      </c>
      <c r="G10" s="41" t="s">
        <v>480</v>
      </c>
      <c r="H10" s="6" t="s">
        <v>487</v>
      </c>
      <c r="I10" s="42" t="s">
        <v>21</v>
      </c>
      <c r="J10" s="31" t="s">
        <v>277</v>
      </c>
      <c r="K10" s="5" t="s">
        <v>274</v>
      </c>
      <c r="L10" s="5" t="s">
        <v>274</v>
      </c>
      <c r="M10" s="5" t="s">
        <v>132</v>
      </c>
      <c r="N10" s="5">
        <f>COUNTIF(原244功能核对!$G$5:$G$248,A10)</f>
        <v>3</v>
      </c>
      <c r="O10" s="6" t="s">
        <v>508</v>
      </c>
    </row>
    <row r="11" spans="1:15" ht="25">
      <c r="A11" s="40" t="s">
        <v>509</v>
      </c>
      <c r="B11" s="6" t="s">
        <v>476</v>
      </c>
      <c r="C11" s="12" t="s">
        <v>510</v>
      </c>
      <c r="D11" s="6" t="s">
        <v>511</v>
      </c>
      <c r="E11" s="6" t="s">
        <v>507</v>
      </c>
      <c r="F11" s="41" t="s">
        <v>480</v>
      </c>
      <c r="G11" s="41" t="s">
        <v>480</v>
      </c>
      <c r="H11" s="6" t="s">
        <v>487</v>
      </c>
      <c r="I11" s="42" t="s">
        <v>21</v>
      </c>
      <c r="J11" s="31" t="s">
        <v>277</v>
      </c>
      <c r="K11" s="5" t="s">
        <v>274</v>
      </c>
      <c r="L11" s="5" t="s">
        <v>274</v>
      </c>
      <c r="M11" s="5" t="s">
        <v>132</v>
      </c>
      <c r="N11" s="5">
        <f>COUNTIF(原244功能核对!$G$5:$G$248,A11)</f>
        <v>7</v>
      </c>
      <c r="O11" s="6" t="s">
        <v>512</v>
      </c>
    </row>
    <row r="12" spans="1:15" ht="37.5">
      <c r="A12" s="33" t="s">
        <v>299</v>
      </c>
      <c r="B12" s="34" t="s">
        <v>476</v>
      </c>
      <c r="C12" s="35" t="s">
        <v>513</v>
      </c>
      <c r="D12" s="34" t="s">
        <v>514</v>
      </c>
      <c r="E12" s="34" t="s">
        <v>479</v>
      </c>
      <c r="F12" s="36" t="s">
        <v>480</v>
      </c>
      <c r="G12" s="37" t="s">
        <v>233</v>
      </c>
      <c r="H12" s="39" t="s">
        <v>233</v>
      </c>
      <c r="I12" s="37" t="s">
        <v>21</v>
      </c>
      <c r="J12" s="27" t="s">
        <v>192</v>
      </c>
      <c r="K12" s="38" t="s">
        <v>294</v>
      </c>
      <c r="L12" s="38" t="s">
        <v>233</v>
      </c>
      <c r="M12" s="38" t="s">
        <v>152</v>
      </c>
      <c r="N12" s="38">
        <f>COUNTIF(原244功能核对!$G$5:$G$248,A12)</f>
        <v>0</v>
      </c>
      <c r="O12" s="34" t="s">
        <v>515</v>
      </c>
    </row>
    <row r="13" spans="1:15" ht="25">
      <c r="A13" s="33" t="s">
        <v>388</v>
      </c>
      <c r="B13" s="34" t="s">
        <v>108</v>
      </c>
      <c r="C13" s="35" t="s">
        <v>385</v>
      </c>
      <c r="D13" s="34" t="s">
        <v>516</v>
      </c>
      <c r="E13" s="34" t="s">
        <v>517</v>
      </c>
      <c r="F13" s="36" t="s">
        <v>518</v>
      </c>
      <c r="G13" s="36" t="s">
        <v>518</v>
      </c>
      <c r="H13" s="34" t="s">
        <v>487</v>
      </c>
      <c r="I13" s="37" t="s">
        <v>21</v>
      </c>
      <c r="J13" s="27" t="s">
        <v>192</v>
      </c>
      <c r="K13" s="38" t="s">
        <v>384</v>
      </c>
      <c r="L13" s="38" t="s">
        <v>384</v>
      </c>
      <c r="M13" s="38" t="s">
        <v>103</v>
      </c>
      <c r="N13" s="38">
        <f>COUNTIF(原244功能核对!$G$5:$G$248,A13)</f>
        <v>0</v>
      </c>
      <c r="O13" s="34" t="s">
        <v>519</v>
      </c>
    </row>
    <row r="14" spans="1:15" ht="25">
      <c r="A14" s="40" t="s">
        <v>520</v>
      </c>
      <c r="B14" s="6" t="s">
        <v>521</v>
      </c>
      <c r="C14" s="12" t="s">
        <v>522</v>
      </c>
      <c r="D14" s="6" t="s">
        <v>523</v>
      </c>
      <c r="E14" s="6" t="s">
        <v>524</v>
      </c>
      <c r="F14" s="41" t="s">
        <v>525</v>
      </c>
      <c r="G14" s="41" t="s">
        <v>481</v>
      </c>
      <c r="H14" s="6" t="s">
        <v>526</v>
      </c>
      <c r="I14" s="42" t="s">
        <v>19</v>
      </c>
      <c r="J14" s="27" t="s">
        <v>192</v>
      </c>
      <c r="K14" s="5" t="s">
        <v>354</v>
      </c>
      <c r="L14" s="5" t="s">
        <v>203</v>
      </c>
      <c r="M14" s="5" t="s">
        <v>119</v>
      </c>
      <c r="N14" s="5">
        <f>COUNTIF(原244功能核对!$G$5:$G$248,A14)</f>
        <v>5</v>
      </c>
      <c r="O14" s="6" t="s">
        <v>527</v>
      </c>
    </row>
    <row r="15" spans="1:15" ht="25">
      <c r="A15" s="40" t="s">
        <v>528</v>
      </c>
      <c r="B15" s="6" t="s">
        <v>521</v>
      </c>
      <c r="C15" s="12" t="s">
        <v>529</v>
      </c>
      <c r="D15" s="6" t="s">
        <v>530</v>
      </c>
      <c r="E15" s="6" t="s">
        <v>531</v>
      </c>
      <c r="F15" s="41" t="s">
        <v>525</v>
      </c>
      <c r="G15" s="41" t="s">
        <v>481</v>
      </c>
      <c r="H15" s="6" t="s">
        <v>532</v>
      </c>
      <c r="I15" s="42" t="s">
        <v>21</v>
      </c>
      <c r="J15" s="31" t="s">
        <v>277</v>
      </c>
      <c r="K15" s="5" t="s">
        <v>366</v>
      </c>
      <c r="L15" s="5" t="s">
        <v>533</v>
      </c>
      <c r="M15" s="5" t="s">
        <v>137</v>
      </c>
      <c r="N15" s="5">
        <f>COUNTIF(原244功能核对!$G$5:$G$248,A15)</f>
        <v>19</v>
      </c>
      <c r="O15" s="6" t="s">
        <v>534</v>
      </c>
    </row>
    <row r="16" spans="1:15">
      <c r="A16" s="40" t="s">
        <v>535</v>
      </c>
      <c r="B16" s="6" t="s">
        <v>521</v>
      </c>
      <c r="C16" s="12" t="s">
        <v>536</v>
      </c>
      <c r="D16" s="6" t="s">
        <v>537</v>
      </c>
      <c r="E16" s="6" t="s">
        <v>538</v>
      </c>
      <c r="F16" s="41" t="s">
        <v>525</v>
      </c>
      <c r="G16" s="41" t="s">
        <v>481</v>
      </c>
      <c r="H16" s="6" t="s">
        <v>526</v>
      </c>
      <c r="I16" s="42" t="s">
        <v>19</v>
      </c>
      <c r="J16" s="27" t="s">
        <v>192</v>
      </c>
      <c r="K16" s="5" t="s">
        <v>354</v>
      </c>
      <c r="L16" s="5" t="s">
        <v>203</v>
      </c>
      <c r="M16" s="5" t="s">
        <v>119</v>
      </c>
      <c r="N16" s="5">
        <f>COUNTIF(原244功能核对!$G$5:$G$248,A16)</f>
        <v>6</v>
      </c>
      <c r="O16" s="6" t="s">
        <v>539</v>
      </c>
    </row>
    <row r="17" spans="1:15" ht="25">
      <c r="A17" s="40" t="s">
        <v>540</v>
      </c>
      <c r="B17" s="6" t="s">
        <v>521</v>
      </c>
      <c r="C17" s="12" t="s">
        <v>541</v>
      </c>
      <c r="D17" s="6" t="s">
        <v>542</v>
      </c>
      <c r="E17" s="6" t="s">
        <v>543</v>
      </c>
      <c r="F17" s="41" t="s">
        <v>525</v>
      </c>
      <c r="G17" s="41" t="s">
        <v>525</v>
      </c>
      <c r="H17" s="6" t="s">
        <v>487</v>
      </c>
      <c r="I17" s="42" t="s">
        <v>21</v>
      </c>
      <c r="J17" s="31" t="s">
        <v>277</v>
      </c>
      <c r="K17" s="5" t="s">
        <v>371</v>
      </c>
      <c r="L17" s="5" t="s">
        <v>371</v>
      </c>
      <c r="M17" s="5" t="s">
        <v>152</v>
      </c>
      <c r="N17" s="5">
        <f>COUNTIF(原244功能核对!$G$5:$G$248,A17)</f>
        <v>18</v>
      </c>
      <c r="O17" s="6" t="s">
        <v>544</v>
      </c>
    </row>
    <row r="18" spans="1:15">
      <c r="A18" s="40" t="s">
        <v>545</v>
      </c>
      <c r="B18" s="6" t="s">
        <v>129</v>
      </c>
      <c r="C18" s="12" t="s">
        <v>546</v>
      </c>
      <c r="D18" s="6" t="s">
        <v>547</v>
      </c>
      <c r="E18" s="6" t="s">
        <v>548</v>
      </c>
      <c r="F18" s="41" t="s">
        <v>525</v>
      </c>
      <c r="G18" s="41" t="s">
        <v>525</v>
      </c>
      <c r="H18" s="6" t="s">
        <v>487</v>
      </c>
      <c r="I18" s="42" t="s">
        <v>19</v>
      </c>
      <c r="J18" s="27" t="s">
        <v>192</v>
      </c>
      <c r="K18" s="5" t="s">
        <v>360</v>
      </c>
      <c r="L18" s="5" t="s">
        <v>360</v>
      </c>
      <c r="M18" s="5" t="s">
        <v>132</v>
      </c>
      <c r="N18" s="5">
        <f>COUNTIF(原244功能核对!$G$5:$G$248,A18)</f>
        <v>5</v>
      </c>
      <c r="O18" s="6" t="s">
        <v>549</v>
      </c>
    </row>
    <row r="19" spans="1:15" ht="25">
      <c r="A19" s="40" t="s">
        <v>550</v>
      </c>
      <c r="B19" s="6" t="s">
        <v>129</v>
      </c>
      <c r="C19" s="12" t="s">
        <v>551</v>
      </c>
      <c r="D19" s="6" t="s">
        <v>552</v>
      </c>
      <c r="E19" s="6" t="s">
        <v>548</v>
      </c>
      <c r="F19" s="41" t="s">
        <v>525</v>
      </c>
      <c r="G19" s="41" t="s">
        <v>525</v>
      </c>
      <c r="H19" s="6" t="s">
        <v>487</v>
      </c>
      <c r="I19" s="42" t="s">
        <v>21</v>
      </c>
      <c r="J19" s="31" t="s">
        <v>277</v>
      </c>
      <c r="K19" s="5" t="s">
        <v>553</v>
      </c>
      <c r="L19" s="5" t="s">
        <v>553</v>
      </c>
      <c r="M19" s="5" t="s">
        <v>137</v>
      </c>
      <c r="N19" s="5">
        <f>COUNTIF(原244功能核对!$G$5:$G$248,A19)</f>
        <v>14</v>
      </c>
      <c r="O19" s="6" t="s">
        <v>554</v>
      </c>
    </row>
    <row r="20" spans="1:15">
      <c r="A20" s="40" t="s">
        <v>555</v>
      </c>
      <c r="B20" s="6" t="s">
        <v>129</v>
      </c>
      <c r="C20" s="12" t="s">
        <v>556</v>
      </c>
      <c r="D20" s="6" t="s">
        <v>557</v>
      </c>
      <c r="E20" s="6" t="s">
        <v>548</v>
      </c>
      <c r="F20" s="41" t="s">
        <v>525</v>
      </c>
      <c r="G20" s="41" t="s">
        <v>525</v>
      </c>
      <c r="H20" s="6" t="s">
        <v>487</v>
      </c>
      <c r="I20" s="42" t="s">
        <v>21</v>
      </c>
      <c r="J20" s="31" t="s">
        <v>277</v>
      </c>
      <c r="K20" s="5" t="s">
        <v>360</v>
      </c>
      <c r="L20" s="5" t="s">
        <v>360</v>
      </c>
      <c r="M20" s="5" t="s">
        <v>132</v>
      </c>
      <c r="N20" s="5">
        <f>COUNTIF(原244功能核对!$G$5:$G$248,A20)</f>
        <v>5</v>
      </c>
      <c r="O20" s="7" t="s">
        <v>233</v>
      </c>
    </row>
    <row r="21" spans="1:15">
      <c r="A21" s="40" t="s">
        <v>558</v>
      </c>
      <c r="B21" s="6" t="s">
        <v>129</v>
      </c>
      <c r="C21" s="12" t="s">
        <v>559</v>
      </c>
      <c r="D21" s="6" t="s">
        <v>560</v>
      </c>
      <c r="E21" s="6" t="s">
        <v>486</v>
      </c>
      <c r="F21" s="41" t="s">
        <v>525</v>
      </c>
      <c r="G21" s="41" t="s">
        <v>525</v>
      </c>
      <c r="H21" s="6" t="s">
        <v>487</v>
      </c>
      <c r="I21" s="42" t="s">
        <v>21</v>
      </c>
      <c r="J21" s="31" t="s">
        <v>277</v>
      </c>
      <c r="K21" s="5" t="s">
        <v>371</v>
      </c>
      <c r="L21" s="5" t="s">
        <v>371</v>
      </c>
      <c r="M21" s="5" t="s">
        <v>152</v>
      </c>
      <c r="N21" s="5">
        <f>COUNTIF(原244功能核对!$G$5:$G$248,A21)</f>
        <v>7</v>
      </c>
      <c r="O21" s="6" t="s">
        <v>561</v>
      </c>
    </row>
    <row r="22" spans="1:15" ht="37.5">
      <c r="A22" s="40" t="s">
        <v>316</v>
      </c>
      <c r="B22" s="6" t="s">
        <v>562</v>
      </c>
      <c r="C22" s="12" t="s">
        <v>114</v>
      </c>
      <c r="D22" s="6" t="s">
        <v>563</v>
      </c>
      <c r="E22" s="6" t="s">
        <v>564</v>
      </c>
      <c r="F22" s="41" t="s">
        <v>493</v>
      </c>
      <c r="G22" s="41" t="s">
        <v>481</v>
      </c>
      <c r="H22" s="6" t="s">
        <v>526</v>
      </c>
      <c r="I22" s="42" t="s">
        <v>19</v>
      </c>
      <c r="J22" s="27" t="s">
        <v>192</v>
      </c>
      <c r="K22" s="5" t="s">
        <v>565</v>
      </c>
      <c r="L22" s="5" t="s">
        <v>209</v>
      </c>
      <c r="M22" s="5" t="s">
        <v>137</v>
      </c>
      <c r="N22" s="5">
        <f>COUNTIF(原244功能核对!$G$5:$G$248,A22)</f>
        <v>36</v>
      </c>
      <c r="O22" s="6" t="s">
        <v>566</v>
      </c>
    </row>
    <row r="23" spans="1:15" ht="25">
      <c r="A23" s="40" t="s">
        <v>567</v>
      </c>
      <c r="B23" s="6" t="s">
        <v>562</v>
      </c>
      <c r="C23" s="12" t="s">
        <v>568</v>
      </c>
      <c r="D23" s="6" t="s">
        <v>569</v>
      </c>
      <c r="E23" s="6" t="s">
        <v>570</v>
      </c>
      <c r="F23" s="41" t="s">
        <v>493</v>
      </c>
      <c r="G23" s="41" t="s">
        <v>481</v>
      </c>
      <c r="H23" s="6" t="s">
        <v>526</v>
      </c>
      <c r="I23" s="42" t="s">
        <v>19</v>
      </c>
      <c r="J23" s="27" t="s">
        <v>192</v>
      </c>
      <c r="K23" s="5" t="s">
        <v>321</v>
      </c>
      <c r="L23" s="5" t="s">
        <v>215</v>
      </c>
      <c r="M23" s="5" t="s">
        <v>132</v>
      </c>
      <c r="N23" s="5">
        <f>COUNTIF(原244功能核对!$G$5:$G$248,A23)</f>
        <v>14</v>
      </c>
      <c r="O23" s="6" t="s">
        <v>571</v>
      </c>
    </row>
    <row r="24" spans="1:15" ht="25">
      <c r="A24" s="40" t="s">
        <v>336</v>
      </c>
      <c r="B24" s="6" t="s">
        <v>562</v>
      </c>
      <c r="C24" s="12" t="s">
        <v>572</v>
      </c>
      <c r="D24" s="6" t="s">
        <v>573</v>
      </c>
      <c r="E24" s="6" t="s">
        <v>574</v>
      </c>
      <c r="F24" s="41" t="s">
        <v>493</v>
      </c>
      <c r="G24" s="41" t="s">
        <v>481</v>
      </c>
      <c r="H24" s="6" t="s">
        <v>575</v>
      </c>
      <c r="I24" s="42" t="s">
        <v>19</v>
      </c>
      <c r="J24" s="27" t="s">
        <v>192</v>
      </c>
      <c r="K24" s="5" t="s">
        <v>332</v>
      </c>
      <c r="L24" s="5" t="s">
        <v>576</v>
      </c>
      <c r="M24" s="5" t="s">
        <v>145</v>
      </c>
      <c r="N24" s="5">
        <f>COUNTIF(原244功能核对!$G$5:$G$248,A24)</f>
        <v>13</v>
      </c>
      <c r="O24" s="7" t="s">
        <v>577</v>
      </c>
    </row>
    <row r="25" spans="1:15">
      <c r="A25" s="40" t="s">
        <v>341</v>
      </c>
      <c r="B25" s="6" t="s">
        <v>562</v>
      </c>
      <c r="C25" s="12" t="s">
        <v>338</v>
      </c>
      <c r="D25" s="6" t="s">
        <v>578</v>
      </c>
      <c r="E25" s="6" t="s">
        <v>570</v>
      </c>
      <c r="F25" s="41" t="s">
        <v>493</v>
      </c>
      <c r="G25" s="41" t="s">
        <v>493</v>
      </c>
      <c r="H25" s="6" t="s">
        <v>487</v>
      </c>
      <c r="I25" s="42" t="s">
        <v>21</v>
      </c>
      <c r="J25" s="31" t="s">
        <v>277</v>
      </c>
      <c r="K25" s="5" t="s">
        <v>337</v>
      </c>
      <c r="L25" s="5" t="s">
        <v>337</v>
      </c>
      <c r="M25" s="5" t="s">
        <v>152</v>
      </c>
      <c r="N25" s="5">
        <f>COUNTIF(原244功能核对!$G$5:$G$248,A25)</f>
        <v>4</v>
      </c>
      <c r="O25" s="7" t="s">
        <v>233</v>
      </c>
    </row>
    <row r="26" spans="1:15" ht="25">
      <c r="A26" s="40" t="s">
        <v>392</v>
      </c>
      <c r="B26" s="6" t="s">
        <v>579</v>
      </c>
      <c r="C26" s="12" t="s">
        <v>116</v>
      </c>
      <c r="D26" s="6" t="s">
        <v>580</v>
      </c>
      <c r="E26" s="6" t="s">
        <v>581</v>
      </c>
      <c r="F26" s="41" t="s">
        <v>518</v>
      </c>
      <c r="G26" s="41" t="s">
        <v>481</v>
      </c>
      <c r="H26" s="6" t="s">
        <v>582</v>
      </c>
      <c r="I26" s="42" t="s">
        <v>19</v>
      </c>
      <c r="J26" s="27" t="s">
        <v>192</v>
      </c>
      <c r="K26" s="5" t="s">
        <v>389</v>
      </c>
      <c r="L26" s="5" t="s">
        <v>583</v>
      </c>
      <c r="M26" s="5" t="s">
        <v>111</v>
      </c>
      <c r="N26" s="5">
        <f>COUNTIF(原244功能核对!$G$5:$G$248,A26)</f>
        <v>6</v>
      </c>
      <c r="O26" s="6" t="s">
        <v>584</v>
      </c>
    </row>
    <row r="27" spans="1:15" ht="25">
      <c r="A27" s="40" t="s">
        <v>397</v>
      </c>
      <c r="B27" s="6" t="s">
        <v>579</v>
      </c>
      <c r="C27" s="12" t="s">
        <v>394</v>
      </c>
      <c r="D27" s="6" t="s">
        <v>585</v>
      </c>
      <c r="E27" s="6" t="s">
        <v>586</v>
      </c>
      <c r="F27" s="41" t="s">
        <v>518</v>
      </c>
      <c r="G27" s="41" t="s">
        <v>481</v>
      </c>
      <c r="H27" s="6" t="s">
        <v>582</v>
      </c>
      <c r="I27" s="42" t="s">
        <v>19</v>
      </c>
      <c r="J27" s="27" t="s">
        <v>192</v>
      </c>
      <c r="K27" s="5" t="s">
        <v>393</v>
      </c>
      <c r="L27" s="5" t="s">
        <v>221</v>
      </c>
      <c r="M27" s="5" t="s">
        <v>125</v>
      </c>
      <c r="N27" s="5">
        <f>COUNTIF(原244功能核对!$G$5:$G$248,A27)</f>
        <v>13</v>
      </c>
      <c r="O27" s="6" t="s">
        <v>587</v>
      </c>
    </row>
    <row r="28" spans="1:15">
      <c r="A28" s="40" t="s">
        <v>588</v>
      </c>
      <c r="B28" s="6" t="s">
        <v>579</v>
      </c>
      <c r="C28" s="12" t="s">
        <v>589</v>
      </c>
      <c r="D28" s="6" t="s">
        <v>590</v>
      </c>
      <c r="E28" s="6" t="s">
        <v>586</v>
      </c>
      <c r="F28" s="41" t="s">
        <v>518</v>
      </c>
      <c r="G28" s="41" t="s">
        <v>518</v>
      </c>
      <c r="H28" s="6" t="s">
        <v>487</v>
      </c>
      <c r="I28" s="42" t="s">
        <v>21</v>
      </c>
      <c r="J28" s="32" t="s">
        <v>284</v>
      </c>
      <c r="K28" s="5" t="s">
        <v>398</v>
      </c>
      <c r="L28" s="5" t="s">
        <v>398</v>
      </c>
      <c r="M28" s="5" t="s">
        <v>132</v>
      </c>
      <c r="N28" s="5">
        <f>COUNTIF(原244功能核对!$G$5:$G$248,A28)</f>
        <v>3</v>
      </c>
      <c r="O28" s="7" t="s">
        <v>233</v>
      </c>
    </row>
    <row r="29" spans="1:15" ht="25">
      <c r="A29" s="40" t="s">
        <v>591</v>
      </c>
      <c r="B29" s="6" t="s">
        <v>579</v>
      </c>
      <c r="C29" s="12" t="s">
        <v>592</v>
      </c>
      <c r="D29" s="6" t="s">
        <v>593</v>
      </c>
      <c r="E29" s="6" t="s">
        <v>594</v>
      </c>
      <c r="F29" s="41" t="s">
        <v>518</v>
      </c>
      <c r="G29" s="41" t="s">
        <v>481</v>
      </c>
      <c r="H29" s="6" t="s">
        <v>595</v>
      </c>
      <c r="I29" s="42" t="s">
        <v>23</v>
      </c>
      <c r="J29" s="31" t="s">
        <v>277</v>
      </c>
      <c r="K29" s="5" t="s">
        <v>398</v>
      </c>
      <c r="L29" s="5" t="s">
        <v>583</v>
      </c>
      <c r="M29" s="5" t="s">
        <v>132</v>
      </c>
      <c r="N29" s="5">
        <f>COUNTIF(原244功能核对!$G$5:$G$248,A29)</f>
        <v>2</v>
      </c>
      <c r="O29" s="6" t="s">
        <v>596</v>
      </c>
    </row>
    <row r="30" spans="1:15" ht="25">
      <c r="A30" s="40" t="s">
        <v>414</v>
      </c>
      <c r="B30" s="6" t="s">
        <v>579</v>
      </c>
      <c r="C30" s="12" t="s">
        <v>411</v>
      </c>
      <c r="D30" s="6" t="s">
        <v>597</v>
      </c>
      <c r="E30" s="6" t="s">
        <v>598</v>
      </c>
      <c r="F30" s="41" t="s">
        <v>518</v>
      </c>
      <c r="G30" s="41" t="s">
        <v>599</v>
      </c>
      <c r="H30" s="6" t="s">
        <v>600</v>
      </c>
      <c r="I30" s="42" t="s">
        <v>21</v>
      </c>
      <c r="J30" s="31" t="s">
        <v>277</v>
      </c>
      <c r="K30" s="5" t="s">
        <v>410</v>
      </c>
      <c r="L30" s="5" t="s">
        <v>426</v>
      </c>
      <c r="M30" s="5" t="s">
        <v>152</v>
      </c>
      <c r="N30" s="5">
        <f>COUNTIF(原244功能核对!$G$5:$G$248,A30)</f>
        <v>9</v>
      </c>
      <c r="O30" s="6" t="s">
        <v>601</v>
      </c>
    </row>
    <row r="31" spans="1:15" ht="25">
      <c r="A31" s="40" t="s">
        <v>287</v>
      </c>
      <c r="B31" s="6" t="s">
        <v>579</v>
      </c>
      <c r="C31" s="12" t="s">
        <v>602</v>
      </c>
      <c r="D31" s="6" t="s">
        <v>603</v>
      </c>
      <c r="E31" s="6" t="s">
        <v>586</v>
      </c>
      <c r="F31" s="41" t="s">
        <v>480</v>
      </c>
      <c r="G31" s="41" t="s">
        <v>599</v>
      </c>
      <c r="H31" s="6" t="s">
        <v>487</v>
      </c>
      <c r="I31" s="42" t="s">
        <v>23</v>
      </c>
      <c r="J31" s="32" t="s">
        <v>284</v>
      </c>
      <c r="K31" s="5" t="s">
        <v>281</v>
      </c>
      <c r="L31" s="5" t="s">
        <v>444</v>
      </c>
      <c r="M31" s="5" t="s">
        <v>137</v>
      </c>
      <c r="N31" s="5">
        <f>COUNTIF(原244功能核对!$G$5:$G$248,A31)</f>
        <v>1</v>
      </c>
      <c r="O31" s="6" t="s">
        <v>604</v>
      </c>
    </row>
    <row r="32" spans="1:15" ht="25">
      <c r="A32" s="40" t="s">
        <v>605</v>
      </c>
      <c r="B32" s="6" t="s">
        <v>433</v>
      </c>
      <c r="C32" s="12" t="s">
        <v>606</v>
      </c>
      <c r="D32" s="6" t="s">
        <v>607</v>
      </c>
      <c r="E32" s="6" t="s">
        <v>486</v>
      </c>
      <c r="F32" s="41" t="s">
        <v>525</v>
      </c>
      <c r="G32" s="41" t="s">
        <v>599</v>
      </c>
      <c r="H32" s="6" t="s">
        <v>487</v>
      </c>
      <c r="I32" s="42" t="s">
        <v>21</v>
      </c>
      <c r="J32" s="31" t="s">
        <v>277</v>
      </c>
      <c r="K32" s="5" t="s">
        <v>371</v>
      </c>
      <c r="L32" s="5" t="s">
        <v>444</v>
      </c>
      <c r="M32" s="5" t="s">
        <v>152</v>
      </c>
      <c r="N32" s="5">
        <f>COUNTIF(原244功能核对!$G$5:$G$248,A32)</f>
        <v>3</v>
      </c>
      <c r="O32" s="6" t="s">
        <v>608</v>
      </c>
    </row>
    <row r="33" spans="1:15" ht="25">
      <c r="A33" s="40" t="s">
        <v>437</v>
      </c>
      <c r="B33" s="6" t="s">
        <v>433</v>
      </c>
      <c r="C33" s="12" t="s">
        <v>609</v>
      </c>
      <c r="D33" s="6" t="s">
        <v>610</v>
      </c>
      <c r="E33" s="6" t="s">
        <v>486</v>
      </c>
      <c r="F33" s="41" t="s">
        <v>599</v>
      </c>
      <c r="G33" s="41" t="s">
        <v>599</v>
      </c>
      <c r="H33" s="6" t="s">
        <v>611</v>
      </c>
      <c r="I33" s="42" t="s">
        <v>21</v>
      </c>
      <c r="J33" s="31" t="s">
        <v>277</v>
      </c>
      <c r="K33" s="5" t="s">
        <v>432</v>
      </c>
      <c r="L33" s="5" t="s">
        <v>444</v>
      </c>
      <c r="M33" s="5" t="s">
        <v>137</v>
      </c>
      <c r="N33" s="5">
        <f>COUNTIF(原244功能核对!$G$5:$G$248,A33)</f>
        <v>12</v>
      </c>
      <c r="O33" s="6" t="s">
        <v>612</v>
      </c>
    </row>
    <row r="34" spans="1:15" ht="25">
      <c r="A34" s="40" t="s">
        <v>613</v>
      </c>
      <c r="B34" s="6" t="s">
        <v>614</v>
      </c>
      <c r="C34" s="12" t="s">
        <v>615</v>
      </c>
      <c r="D34" s="6" t="s">
        <v>616</v>
      </c>
      <c r="E34" s="6" t="s">
        <v>617</v>
      </c>
      <c r="F34" s="41" t="s">
        <v>518</v>
      </c>
      <c r="G34" s="41" t="s">
        <v>599</v>
      </c>
      <c r="H34" s="6" t="s">
        <v>618</v>
      </c>
      <c r="I34" s="42" t="s">
        <v>21</v>
      </c>
      <c r="J34" s="31" t="s">
        <v>277</v>
      </c>
      <c r="K34" s="5" t="s">
        <v>404</v>
      </c>
      <c r="L34" s="5" t="s">
        <v>619</v>
      </c>
      <c r="M34" s="5" t="s">
        <v>145</v>
      </c>
      <c r="N34" s="5">
        <f>COUNTIF(原244功能核对!$G$5:$G$248,A34)</f>
        <v>21</v>
      </c>
      <c r="O34" s="6" t="s">
        <v>620</v>
      </c>
    </row>
    <row r="35" spans="1:15">
      <c r="A35" s="40" t="s">
        <v>621</v>
      </c>
      <c r="B35" s="6" t="s">
        <v>614</v>
      </c>
      <c r="C35" s="12" t="s">
        <v>622</v>
      </c>
      <c r="D35" s="6" t="s">
        <v>623</v>
      </c>
      <c r="E35" s="6" t="s">
        <v>617</v>
      </c>
      <c r="F35" s="41" t="s">
        <v>518</v>
      </c>
      <c r="G35" s="41" t="s">
        <v>599</v>
      </c>
      <c r="H35" s="6" t="s">
        <v>624</v>
      </c>
      <c r="I35" s="42" t="s">
        <v>21</v>
      </c>
      <c r="J35" s="32" t="s">
        <v>284</v>
      </c>
      <c r="K35" s="5" t="s">
        <v>404</v>
      </c>
      <c r="L35" s="5" t="s">
        <v>619</v>
      </c>
      <c r="M35" s="5" t="s">
        <v>145</v>
      </c>
      <c r="N35" s="5">
        <f>COUNTIF(原244功能核对!$G$5:$G$248,A35)</f>
        <v>7</v>
      </c>
      <c r="O35" s="7" t="s">
        <v>233</v>
      </c>
    </row>
    <row r="36" spans="1:15" ht="25">
      <c r="A36" s="40" t="s">
        <v>443</v>
      </c>
      <c r="B36" s="6" t="s">
        <v>614</v>
      </c>
      <c r="C36" s="12" t="s">
        <v>439</v>
      </c>
      <c r="D36" s="6" t="s">
        <v>625</v>
      </c>
      <c r="E36" s="6" t="s">
        <v>617</v>
      </c>
      <c r="F36" s="41" t="s">
        <v>599</v>
      </c>
      <c r="G36" s="41" t="s">
        <v>599</v>
      </c>
      <c r="H36" s="6" t="s">
        <v>626</v>
      </c>
      <c r="I36" s="42" t="s">
        <v>21</v>
      </c>
      <c r="J36" s="31" t="s">
        <v>277</v>
      </c>
      <c r="K36" s="5" t="s">
        <v>438</v>
      </c>
      <c r="L36" s="5" t="s">
        <v>444</v>
      </c>
      <c r="M36" s="5" t="s">
        <v>137</v>
      </c>
      <c r="N36" s="5">
        <f>COUNTIF(原244功能核对!$G$5:$G$248,A36)</f>
        <v>10</v>
      </c>
      <c r="O36" s="6" t="s">
        <v>627</v>
      </c>
    </row>
    <row r="37" spans="1:15" ht="25">
      <c r="A37" s="33" t="s">
        <v>293</v>
      </c>
      <c r="B37" s="34" t="s">
        <v>628</v>
      </c>
      <c r="C37" s="35" t="s">
        <v>629</v>
      </c>
      <c r="D37" s="34" t="s">
        <v>630</v>
      </c>
      <c r="E37" s="34" t="s">
        <v>631</v>
      </c>
      <c r="F37" s="36" t="s">
        <v>480</v>
      </c>
      <c r="G37" s="36" t="s">
        <v>599</v>
      </c>
      <c r="H37" s="34" t="s">
        <v>632</v>
      </c>
      <c r="I37" s="37" t="s">
        <v>23</v>
      </c>
      <c r="J37" s="32" t="s">
        <v>284</v>
      </c>
      <c r="K37" s="38" t="s">
        <v>288</v>
      </c>
      <c r="L37" s="38" t="s">
        <v>444</v>
      </c>
      <c r="M37" s="38" t="s">
        <v>145</v>
      </c>
      <c r="N37" s="38">
        <f>COUNTIF(原244功能核对!$G$5:$G$248,A37)</f>
        <v>0</v>
      </c>
      <c r="O37" s="39" t="s">
        <v>633</v>
      </c>
    </row>
    <row r="38" spans="1:15">
      <c r="M38" s="15" t="s">
        <v>88</v>
      </c>
      <c r="N38" s="15">
        <f>SUM(N5:N37)</f>
        <v>244</v>
      </c>
    </row>
    <row r="39" spans="1:15" ht="23">
      <c r="M39" s="43" t="s">
        <v>634</v>
      </c>
      <c r="N39" s="5">
        <f>N38-244</f>
        <v>0</v>
      </c>
    </row>
  </sheetData>
  <autoFilter ref="A4:O37" xr:uid="{00000000-0009-0000-0000-00000A000000}"/>
  <phoneticPr fontId="27" type="noConversion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248"/>
  <sheetViews>
    <sheetView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8.6328125" defaultRowHeight="14.5"/>
  <cols>
    <col min="1" max="1" width="6" customWidth="1"/>
    <col min="2" max="2" width="8" customWidth="1"/>
    <col min="3" max="4" width="12" customWidth="1"/>
    <col min="5" max="5" width="16" customWidth="1"/>
    <col min="6" max="6" width="30" customWidth="1"/>
    <col min="7" max="7" width="8" customWidth="1"/>
    <col min="8" max="8" width="20" customWidth="1"/>
    <col min="9" max="10" width="9" customWidth="1"/>
    <col min="11" max="11" width="18" customWidth="1"/>
    <col min="12" max="13" width="7" customWidth="1"/>
    <col min="14" max="14" width="9" customWidth="1"/>
    <col min="15" max="15" width="36" customWidth="1"/>
    <col min="16" max="16" width="10" customWidth="1"/>
  </cols>
  <sheetData>
    <row r="1" spans="1:16" ht="18">
      <c r="A1" s="1" t="s">
        <v>635</v>
      </c>
    </row>
    <row r="2" spans="1:16">
      <c r="A2" s="2" t="s">
        <v>636</v>
      </c>
    </row>
    <row r="4" spans="1:16" ht="26">
      <c r="A4" s="10" t="s">
        <v>637</v>
      </c>
      <c r="B4" s="10" t="s">
        <v>638</v>
      </c>
      <c r="C4" s="10" t="s">
        <v>639</v>
      </c>
      <c r="D4" s="10" t="s">
        <v>640</v>
      </c>
      <c r="E4" s="10" t="s">
        <v>641</v>
      </c>
      <c r="F4" s="10" t="s">
        <v>642</v>
      </c>
      <c r="G4" s="10" t="s">
        <v>643</v>
      </c>
      <c r="H4" s="10" t="s">
        <v>644</v>
      </c>
      <c r="I4" s="10" t="s">
        <v>467</v>
      </c>
      <c r="J4" s="10" t="s">
        <v>468</v>
      </c>
      <c r="K4" s="10" t="s">
        <v>469</v>
      </c>
      <c r="L4" s="10" t="s">
        <v>470</v>
      </c>
      <c r="M4" s="10" t="s">
        <v>181</v>
      </c>
      <c r="N4" s="10" t="s">
        <v>473</v>
      </c>
      <c r="O4" s="10" t="s">
        <v>645</v>
      </c>
      <c r="P4" s="10" t="s">
        <v>646</v>
      </c>
    </row>
    <row r="5" spans="1:16">
      <c r="A5" s="5">
        <v>1</v>
      </c>
      <c r="B5" s="8" t="s">
        <v>647</v>
      </c>
      <c r="C5" s="6" t="s">
        <v>648</v>
      </c>
      <c r="D5" s="6" t="s">
        <v>649</v>
      </c>
      <c r="E5" s="6" t="s">
        <v>650</v>
      </c>
      <c r="F5" s="6" t="s">
        <v>651</v>
      </c>
      <c r="G5" s="40" t="s">
        <v>567</v>
      </c>
      <c r="H5" s="7" t="str">
        <f>INDEX(优化后功能框架!$C$5:$C$37,MATCH($G5,优化后功能框架!$A$5:$A$37,0))</f>
        <v>多级审核</v>
      </c>
      <c r="I5" s="5" t="str">
        <f>INDEX(优化后功能框架!$F$5:$F$37,MATCH($G5,优化后功能框架!$A$5:$A$37,0))</f>
        <v>成员3</v>
      </c>
      <c r="J5" s="5" t="str">
        <f>INDEX(优化后功能框架!$G$5:$G$37,MATCH($G5,优化后功能框架!$A$5:$A$37,0))</f>
        <v>成员1</v>
      </c>
      <c r="K5" s="7" t="str">
        <f>INDEX(优化后功能框架!$H$5:$H$37,MATCH($G5,优化后功能框架!$A$5:$A$37,0))</f>
        <v>手写复杂页</v>
      </c>
      <c r="L5" s="5" t="str">
        <f>INDEX(优化后功能框架!$I$5:$I$37,MATCH($G5,优化后功能框架!$A$5:$A$37,0))</f>
        <v>L1</v>
      </c>
      <c r="M5" s="5" t="str">
        <f>INDEX(优化后功能框架!$J$5:$J$37,MATCH($G5,优化后功能框架!$A$5:$A$37,0))</f>
        <v>P0</v>
      </c>
      <c r="N5" s="5" t="str">
        <f>INDEX(优化后功能框架!$M$5:$M$37,MATCH($G5,优化后功能框架!$A$5:$A$37,0))</f>
        <v>D5</v>
      </c>
      <c r="O5" s="7"/>
      <c r="P5" s="5"/>
    </row>
    <row r="6" spans="1:16" ht="25">
      <c r="A6" s="5">
        <v>2</v>
      </c>
      <c r="B6" s="8" t="s">
        <v>652</v>
      </c>
      <c r="C6" s="6" t="s">
        <v>648</v>
      </c>
      <c r="D6" s="6" t="s">
        <v>649</v>
      </c>
      <c r="E6" s="6" t="s">
        <v>650</v>
      </c>
      <c r="F6" s="6" t="s">
        <v>653</v>
      </c>
      <c r="G6" s="40" t="s">
        <v>443</v>
      </c>
      <c r="H6" s="7" t="str">
        <f>INDEX(优化后功能框架!$C$5:$C$37,MATCH($G6,优化后功能框架!$A$5:$A$37,0))</f>
        <v>公示</v>
      </c>
      <c r="I6" s="5" t="str">
        <f>INDEX(优化后功能框架!$F$5:$F$37,MATCH($G6,优化后功能框架!$A$5:$A$37,0))</f>
        <v>成员6</v>
      </c>
      <c r="J6" s="5" t="str">
        <f>INDEX(优化后功能框架!$G$5:$G$37,MATCH($G6,优化后功能框架!$A$5:$A$37,0))</f>
        <v>成员6</v>
      </c>
      <c r="K6" s="7" t="str">
        <f>INDEX(优化后功能框架!$H$5:$H$37,MATCH($G6,优化后功能框架!$A$5:$A$37,0))</f>
        <v>生成器标准页+门户页</v>
      </c>
      <c r="L6" s="5" t="str">
        <f>INDEX(优化后功能框架!$I$5:$I$37,MATCH($G6,优化后功能框架!$A$5:$A$37,0))</f>
        <v>L2</v>
      </c>
      <c r="M6" s="5" t="str">
        <f>INDEX(优化后功能框架!$J$5:$J$37,MATCH($G6,优化后功能框架!$A$5:$A$37,0))</f>
        <v>P1</v>
      </c>
      <c r="N6" s="5" t="str">
        <f>INDEX(优化后功能框架!$M$5:$M$37,MATCH($G6,优化后功能框架!$A$5:$A$37,0))</f>
        <v>D6</v>
      </c>
      <c r="O6" s="7"/>
      <c r="P6" s="5"/>
    </row>
    <row r="7" spans="1:16" ht="25">
      <c r="A7" s="5">
        <v>3</v>
      </c>
      <c r="B7" s="8" t="s">
        <v>654</v>
      </c>
      <c r="C7" s="6" t="s">
        <v>648</v>
      </c>
      <c r="D7" s="6" t="s">
        <v>649</v>
      </c>
      <c r="E7" s="6" t="s">
        <v>650</v>
      </c>
      <c r="F7" s="6" t="s">
        <v>655</v>
      </c>
      <c r="G7" s="40" t="s">
        <v>443</v>
      </c>
      <c r="H7" s="7" t="str">
        <f>INDEX(优化后功能框架!$C$5:$C$37,MATCH($G7,优化后功能框架!$A$5:$A$37,0))</f>
        <v>公示</v>
      </c>
      <c r="I7" s="5" t="str">
        <f>INDEX(优化后功能框架!$F$5:$F$37,MATCH($G7,优化后功能框架!$A$5:$A$37,0))</f>
        <v>成员6</v>
      </c>
      <c r="J7" s="5" t="str">
        <f>INDEX(优化后功能框架!$G$5:$G$37,MATCH($G7,优化后功能框架!$A$5:$A$37,0))</f>
        <v>成员6</v>
      </c>
      <c r="K7" s="7" t="str">
        <f>INDEX(优化后功能框架!$H$5:$H$37,MATCH($G7,优化后功能框架!$A$5:$A$37,0))</f>
        <v>生成器标准页+门户页</v>
      </c>
      <c r="L7" s="5" t="str">
        <f>INDEX(优化后功能框架!$I$5:$I$37,MATCH($G7,优化后功能框架!$A$5:$A$37,0))</f>
        <v>L2</v>
      </c>
      <c r="M7" s="5" t="str">
        <f>INDEX(优化后功能框架!$J$5:$J$37,MATCH($G7,优化后功能框架!$A$5:$A$37,0))</f>
        <v>P1</v>
      </c>
      <c r="N7" s="5" t="str">
        <f>INDEX(优化后功能框架!$M$5:$M$37,MATCH($G7,优化后功能框架!$A$5:$A$37,0))</f>
        <v>D6</v>
      </c>
      <c r="O7" s="7"/>
      <c r="P7" s="5"/>
    </row>
    <row r="8" spans="1:16">
      <c r="A8" s="5">
        <v>4</v>
      </c>
      <c r="B8" s="8" t="s">
        <v>656</v>
      </c>
      <c r="C8" s="6" t="s">
        <v>648</v>
      </c>
      <c r="D8" s="6" t="s">
        <v>649</v>
      </c>
      <c r="E8" s="6" t="s">
        <v>657</v>
      </c>
      <c r="F8" s="6" t="s">
        <v>658</v>
      </c>
      <c r="G8" s="40" t="s">
        <v>316</v>
      </c>
      <c r="H8" s="7" t="str">
        <f>INDEX(优化后功能框架!$C$5:$C$37,MATCH($G8,优化后功能框架!$A$5:$A$37,0))</f>
        <v>统一报名引擎</v>
      </c>
      <c r="I8" s="5" t="str">
        <f>INDEX(优化后功能框架!$F$5:$F$37,MATCH($G8,优化后功能框架!$A$5:$A$37,0))</f>
        <v>成员3</v>
      </c>
      <c r="J8" s="5" t="str">
        <f>INDEX(优化后功能框架!$G$5:$G$37,MATCH($G8,优化后功能框架!$A$5:$A$37,0))</f>
        <v>成员1</v>
      </c>
      <c r="K8" s="7" t="str">
        <f>INDEX(优化后功能框架!$H$5:$H$37,MATCH($G8,优化后功能框架!$A$5:$A$37,0))</f>
        <v>手写复杂页</v>
      </c>
      <c r="L8" s="5" t="str">
        <f>INDEX(优化后功能框架!$I$5:$I$37,MATCH($G8,优化后功能框架!$A$5:$A$37,0))</f>
        <v>L1</v>
      </c>
      <c r="M8" s="5" t="str">
        <f>INDEX(优化后功能框架!$J$5:$J$37,MATCH($G8,优化后功能框架!$A$5:$A$37,0))</f>
        <v>P0</v>
      </c>
      <c r="N8" s="5" t="str">
        <f>INDEX(优化后功能框架!$M$5:$M$37,MATCH($G8,优化后功能框架!$A$5:$A$37,0))</f>
        <v>D6</v>
      </c>
      <c r="O8" s="7"/>
      <c r="P8" s="5"/>
    </row>
    <row r="9" spans="1:16">
      <c r="A9" s="5">
        <v>5</v>
      </c>
      <c r="B9" s="8" t="s">
        <v>659</v>
      </c>
      <c r="C9" s="6" t="s">
        <v>648</v>
      </c>
      <c r="D9" s="6" t="s">
        <v>649</v>
      </c>
      <c r="E9" s="6" t="s">
        <v>657</v>
      </c>
      <c r="F9" s="6" t="s">
        <v>660</v>
      </c>
      <c r="G9" s="40" t="s">
        <v>316</v>
      </c>
      <c r="H9" s="7" t="str">
        <f>INDEX(优化后功能框架!$C$5:$C$37,MATCH($G9,优化后功能框架!$A$5:$A$37,0))</f>
        <v>统一报名引擎</v>
      </c>
      <c r="I9" s="5" t="str">
        <f>INDEX(优化后功能框架!$F$5:$F$37,MATCH($G9,优化后功能框架!$A$5:$A$37,0))</f>
        <v>成员3</v>
      </c>
      <c r="J9" s="5" t="str">
        <f>INDEX(优化后功能框架!$G$5:$G$37,MATCH($G9,优化后功能框架!$A$5:$A$37,0))</f>
        <v>成员1</v>
      </c>
      <c r="K9" s="7" t="str">
        <f>INDEX(优化后功能框架!$H$5:$H$37,MATCH($G9,优化后功能框架!$A$5:$A$37,0))</f>
        <v>手写复杂页</v>
      </c>
      <c r="L9" s="5" t="str">
        <f>INDEX(优化后功能框架!$I$5:$I$37,MATCH($G9,优化后功能框架!$A$5:$A$37,0))</f>
        <v>L1</v>
      </c>
      <c r="M9" s="5" t="str">
        <f>INDEX(优化后功能框架!$J$5:$J$37,MATCH($G9,优化后功能框架!$A$5:$A$37,0))</f>
        <v>P0</v>
      </c>
      <c r="N9" s="5" t="str">
        <f>INDEX(优化后功能框架!$M$5:$M$37,MATCH($G9,优化后功能框架!$A$5:$A$37,0))</f>
        <v>D6</v>
      </c>
      <c r="O9" s="7"/>
      <c r="P9" s="5"/>
    </row>
    <row r="10" spans="1:16">
      <c r="A10" s="5">
        <v>6</v>
      </c>
      <c r="B10" s="8" t="s">
        <v>661</v>
      </c>
      <c r="C10" s="6" t="s">
        <v>648</v>
      </c>
      <c r="D10" s="6" t="s">
        <v>649</v>
      </c>
      <c r="E10" s="6" t="s">
        <v>657</v>
      </c>
      <c r="F10" s="6" t="s">
        <v>662</v>
      </c>
      <c r="G10" s="40" t="s">
        <v>316</v>
      </c>
      <c r="H10" s="7" t="str">
        <f>INDEX(优化后功能框架!$C$5:$C$37,MATCH($G10,优化后功能框架!$A$5:$A$37,0))</f>
        <v>统一报名引擎</v>
      </c>
      <c r="I10" s="5" t="str">
        <f>INDEX(优化后功能框架!$F$5:$F$37,MATCH($G10,优化后功能框架!$A$5:$A$37,0))</f>
        <v>成员3</v>
      </c>
      <c r="J10" s="5" t="str">
        <f>INDEX(优化后功能框架!$G$5:$G$37,MATCH($G10,优化后功能框架!$A$5:$A$37,0))</f>
        <v>成员1</v>
      </c>
      <c r="K10" s="7" t="str">
        <f>INDEX(优化后功能框架!$H$5:$H$37,MATCH($G10,优化后功能框架!$A$5:$A$37,0))</f>
        <v>手写复杂页</v>
      </c>
      <c r="L10" s="5" t="str">
        <f>INDEX(优化后功能框架!$I$5:$I$37,MATCH($G10,优化后功能框架!$A$5:$A$37,0))</f>
        <v>L1</v>
      </c>
      <c r="M10" s="5" t="str">
        <f>INDEX(优化后功能框架!$J$5:$J$37,MATCH($G10,优化后功能框架!$A$5:$A$37,0))</f>
        <v>P0</v>
      </c>
      <c r="N10" s="5" t="str">
        <f>INDEX(优化后功能框架!$M$5:$M$37,MATCH($G10,优化后功能框架!$A$5:$A$37,0))</f>
        <v>D6</v>
      </c>
      <c r="O10" s="7"/>
      <c r="P10" s="5"/>
    </row>
    <row r="11" spans="1:16">
      <c r="A11" s="5">
        <v>7</v>
      </c>
      <c r="B11" s="8" t="s">
        <v>663</v>
      </c>
      <c r="C11" s="6" t="s">
        <v>648</v>
      </c>
      <c r="D11" s="6" t="s">
        <v>649</v>
      </c>
      <c r="E11" s="6" t="s">
        <v>657</v>
      </c>
      <c r="F11" s="6" t="s">
        <v>664</v>
      </c>
      <c r="G11" s="40" t="s">
        <v>316</v>
      </c>
      <c r="H11" s="7" t="str">
        <f>INDEX(优化后功能框架!$C$5:$C$37,MATCH($G11,优化后功能框架!$A$5:$A$37,0))</f>
        <v>统一报名引擎</v>
      </c>
      <c r="I11" s="5" t="str">
        <f>INDEX(优化后功能框架!$F$5:$F$37,MATCH($G11,优化后功能框架!$A$5:$A$37,0))</f>
        <v>成员3</v>
      </c>
      <c r="J11" s="5" t="str">
        <f>INDEX(优化后功能框架!$G$5:$G$37,MATCH($G11,优化后功能框架!$A$5:$A$37,0))</f>
        <v>成员1</v>
      </c>
      <c r="K11" s="7" t="str">
        <f>INDEX(优化后功能框架!$H$5:$H$37,MATCH($G11,优化后功能框架!$A$5:$A$37,0))</f>
        <v>手写复杂页</v>
      </c>
      <c r="L11" s="5" t="str">
        <f>INDEX(优化后功能框架!$I$5:$I$37,MATCH($G11,优化后功能框架!$A$5:$A$37,0))</f>
        <v>L1</v>
      </c>
      <c r="M11" s="5" t="str">
        <f>INDEX(优化后功能框架!$J$5:$J$37,MATCH($G11,优化后功能框架!$A$5:$A$37,0))</f>
        <v>P0</v>
      </c>
      <c r="N11" s="5" t="str">
        <f>INDEX(优化后功能框架!$M$5:$M$37,MATCH($G11,优化后功能框架!$A$5:$A$37,0))</f>
        <v>D6</v>
      </c>
      <c r="O11" s="7"/>
      <c r="P11" s="5"/>
    </row>
    <row r="12" spans="1:16">
      <c r="A12" s="5">
        <v>8</v>
      </c>
      <c r="B12" s="8" t="s">
        <v>665</v>
      </c>
      <c r="C12" s="6" t="s">
        <v>648</v>
      </c>
      <c r="D12" s="6" t="s">
        <v>649</v>
      </c>
      <c r="E12" s="6" t="s">
        <v>657</v>
      </c>
      <c r="F12" s="6" t="s">
        <v>666</v>
      </c>
      <c r="G12" s="40" t="s">
        <v>316</v>
      </c>
      <c r="H12" s="7" t="str">
        <f>INDEX(优化后功能框架!$C$5:$C$37,MATCH($G12,优化后功能框架!$A$5:$A$37,0))</f>
        <v>统一报名引擎</v>
      </c>
      <c r="I12" s="5" t="str">
        <f>INDEX(优化后功能框架!$F$5:$F$37,MATCH($G12,优化后功能框架!$A$5:$A$37,0))</f>
        <v>成员3</v>
      </c>
      <c r="J12" s="5" t="str">
        <f>INDEX(优化后功能框架!$G$5:$G$37,MATCH($G12,优化后功能框架!$A$5:$A$37,0))</f>
        <v>成员1</v>
      </c>
      <c r="K12" s="7" t="str">
        <f>INDEX(优化后功能框架!$H$5:$H$37,MATCH($G12,优化后功能框架!$A$5:$A$37,0))</f>
        <v>手写复杂页</v>
      </c>
      <c r="L12" s="5" t="str">
        <f>INDEX(优化后功能框架!$I$5:$I$37,MATCH($G12,优化后功能框架!$A$5:$A$37,0))</f>
        <v>L1</v>
      </c>
      <c r="M12" s="5" t="str">
        <f>INDEX(优化后功能框架!$J$5:$J$37,MATCH($G12,优化后功能框架!$A$5:$A$37,0))</f>
        <v>P0</v>
      </c>
      <c r="N12" s="5" t="str">
        <f>INDEX(优化后功能框架!$M$5:$M$37,MATCH($G12,优化后功能框架!$A$5:$A$37,0))</f>
        <v>D6</v>
      </c>
      <c r="O12" s="7"/>
      <c r="P12" s="5"/>
    </row>
    <row r="13" spans="1:16">
      <c r="A13" s="5">
        <v>9</v>
      </c>
      <c r="B13" s="8" t="s">
        <v>667</v>
      </c>
      <c r="C13" s="6" t="s">
        <v>648</v>
      </c>
      <c r="D13" s="6" t="s">
        <v>649</v>
      </c>
      <c r="E13" s="6" t="s">
        <v>657</v>
      </c>
      <c r="F13" s="6" t="s">
        <v>668</v>
      </c>
      <c r="G13" s="40" t="s">
        <v>316</v>
      </c>
      <c r="H13" s="7" t="str">
        <f>INDEX(优化后功能框架!$C$5:$C$37,MATCH($G13,优化后功能框架!$A$5:$A$37,0))</f>
        <v>统一报名引擎</v>
      </c>
      <c r="I13" s="5" t="str">
        <f>INDEX(优化后功能框架!$F$5:$F$37,MATCH($G13,优化后功能框架!$A$5:$A$37,0))</f>
        <v>成员3</v>
      </c>
      <c r="J13" s="5" t="str">
        <f>INDEX(优化后功能框架!$G$5:$G$37,MATCH($G13,优化后功能框架!$A$5:$A$37,0))</f>
        <v>成员1</v>
      </c>
      <c r="K13" s="7" t="str">
        <f>INDEX(优化后功能框架!$H$5:$H$37,MATCH($G13,优化后功能框架!$A$5:$A$37,0))</f>
        <v>手写复杂页</v>
      </c>
      <c r="L13" s="5" t="str">
        <f>INDEX(优化后功能框架!$I$5:$I$37,MATCH($G13,优化后功能框架!$A$5:$A$37,0))</f>
        <v>L1</v>
      </c>
      <c r="M13" s="5" t="str">
        <f>INDEX(优化后功能框架!$J$5:$J$37,MATCH($G13,优化后功能框架!$A$5:$A$37,0))</f>
        <v>P0</v>
      </c>
      <c r="N13" s="5" t="str">
        <f>INDEX(优化后功能框架!$M$5:$M$37,MATCH($G13,优化后功能框架!$A$5:$A$37,0))</f>
        <v>D6</v>
      </c>
      <c r="O13" s="7"/>
      <c r="P13" s="5"/>
    </row>
    <row r="14" spans="1:16">
      <c r="A14" s="5">
        <v>10</v>
      </c>
      <c r="B14" s="8" t="s">
        <v>669</v>
      </c>
      <c r="C14" s="6" t="s">
        <v>648</v>
      </c>
      <c r="D14" s="6" t="s">
        <v>649</v>
      </c>
      <c r="E14" s="6" t="s">
        <v>657</v>
      </c>
      <c r="F14" s="6" t="s">
        <v>670</v>
      </c>
      <c r="G14" s="40" t="s">
        <v>316</v>
      </c>
      <c r="H14" s="7" t="str">
        <f>INDEX(优化后功能框架!$C$5:$C$37,MATCH($G14,优化后功能框架!$A$5:$A$37,0))</f>
        <v>统一报名引擎</v>
      </c>
      <c r="I14" s="5" t="str">
        <f>INDEX(优化后功能框架!$F$5:$F$37,MATCH($G14,优化后功能框架!$A$5:$A$37,0))</f>
        <v>成员3</v>
      </c>
      <c r="J14" s="5" t="str">
        <f>INDEX(优化后功能框架!$G$5:$G$37,MATCH($G14,优化后功能框架!$A$5:$A$37,0))</f>
        <v>成员1</v>
      </c>
      <c r="K14" s="7" t="str">
        <f>INDEX(优化后功能框架!$H$5:$H$37,MATCH($G14,优化后功能框架!$A$5:$A$37,0))</f>
        <v>手写复杂页</v>
      </c>
      <c r="L14" s="5" t="str">
        <f>INDEX(优化后功能框架!$I$5:$I$37,MATCH($G14,优化后功能框架!$A$5:$A$37,0))</f>
        <v>L1</v>
      </c>
      <c r="M14" s="5" t="str">
        <f>INDEX(优化后功能框架!$J$5:$J$37,MATCH($G14,优化后功能框架!$A$5:$A$37,0))</f>
        <v>P0</v>
      </c>
      <c r="N14" s="5" t="str">
        <f>INDEX(优化后功能框架!$M$5:$M$37,MATCH($G14,优化后功能框架!$A$5:$A$37,0))</f>
        <v>D6</v>
      </c>
      <c r="O14" s="7"/>
      <c r="P14" s="5"/>
    </row>
    <row r="15" spans="1:16">
      <c r="A15" s="5">
        <v>11</v>
      </c>
      <c r="B15" s="8" t="s">
        <v>671</v>
      </c>
      <c r="C15" s="6" t="s">
        <v>648</v>
      </c>
      <c r="D15" s="6" t="s">
        <v>649</v>
      </c>
      <c r="E15" s="6" t="s">
        <v>657</v>
      </c>
      <c r="F15" s="6" t="s">
        <v>672</v>
      </c>
      <c r="G15" s="40" t="s">
        <v>316</v>
      </c>
      <c r="H15" s="7" t="str">
        <f>INDEX(优化后功能框架!$C$5:$C$37,MATCH($G15,优化后功能框架!$A$5:$A$37,0))</f>
        <v>统一报名引擎</v>
      </c>
      <c r="I15" s="5" t="str">
        <f>INDEX(优化后功能框架!$F$5:$F$37,MATCH($G15,优化后功能框架!$A$5:$A$37,0))</f>
        <v>成员3</v>
      </c>
      <c r="J15" s="5" t="str">
        <f>INDEX(优化后功能框架!$G$5:$G$37,MATCH($G15,优化后功能框架!$A$5:$A$37,0))</f>
        <v>成员1</v>
      </c>
      <c r="K15" s="7" t="str">
        <f>INDEX(优化后功能框架!$H$5:$H$37,MATCH($G15,优化后功能框架!$A$5:$A$37,0))</f>
        <v>手写复杂页</v>
      </c>
      <c r="L15" s="5" t="str">
        <f>INDEX(优化后功能框架!$I$5:$I$37,MATCH($G15,优化后功能框架!$A$5:$A$37,0))</f>
        <v>L1</v>
      </c>
      <c r="M15" s="5" t="str">
        <f>INDEX(优化后功能框架!$J$5:$J$37,MATCH($G15,优化后功能框架!$A$5:$A$37,0))</f>
        <v>P0</v>
      </c>
      <c r="N15" s="5" t="str">
        <f>INDEX(优化后功能框架!$M$5:$M$37,MATCH($G15,优化后功能框架!$A$5:$A$37,0))</f>
        <v>D6</v>
      </c>
      <c r="O15" s="7"/>
      <c r="P15" s="5"/>
    </row>
    <row r="16" spans="1:16">
      <c r="A16" s="5">
        <v>12</v>
      </c>
      <c r="B16" s="8" t="s">
        <v>673</v>
      </c>
      <c r="C16" s="6" t="s">
        <v>648</v>
      </c>
      <c r="D16" s="6" t="s">
        <v>649</v>
      </c>
      <c r="E16" s="6" t="s">
        <v>657</v>
      </c>
      <c r="F16" s="6" t="s">
        <v>674</v>
      </c>
      <c r="G16" s="40" t="s">
        <v>316</v>
      </c>
      <c r="H16" s="7" t="str">
        <f>INDEX(优化后功能框架!$C$5:$C$37,MATCH($G16,优化后功能框架!$A$5:$A$37,0))</f>
        <v>统一报名引擎</v>
      </c>
      <c r="I16" s="5" t="str">
        <f>INDEX(优化后功能框架!$F$5:$F$37,MATCH($G16,优化后功能框架!$A$5:$A$37,0))</f>
        <v>成员3</v>
      </c>
      <c r="J16" s="5" t="str">
        <f>INDEX(优化后功能框架!$G$5:$G$37,MATCH($G16,优化后功能框架!$A$5:$A$37,0))</f>
        <v>成员1</v>
      </c>
      <c r="K16" s="7" t="str">
        <f>INDEX(优化后功能框架!$H$5:$H$37,MATCH($G16,优化后功能框架!$A$5:$A$37,0))</f>
        <v>手写复杂页</v>
      </c>
      <c r="L16" s="5" t="str">
        <f>INDEX(优化后功能框架!$I$5:$I$37,MATCH($G16,优化后功能框架!$A$5:$A$37,0))</f>
        <v>L1</v>
      </c>
      <c r="M16" s="5" t="str">
        <f>INDEX(优化后功能框架!$J$5:$J$37,MATCH($G16,优化后功能框架!$A$5:$A$37,0))</f>
        <v>P0</v>
      </c>
      <c r="N16" s="5" t="str">
        <f>INDEX(优化后功能框架!$M$5:$M$37,MATCH($G16,优化后功能框架!$A$5:$A$37,0))</f>
        <v>D6</v>
      </c>
      <c r="O16" s="7"/>
      <c r="P16" s="5"/>
    </row>
    <row r="17" spans="1:16">
      <c r="A17" s="5">
        <v>13</v>
      </c>
      <c r="B17" s="8" t="s">
        <v>675</v>
      </c>
      <c r="C17" s="6" t="s">
        <v>648</v>
      </c>
      <c r="D17" s="6" t="s">
        <v>649</v>
      </c>
      <c r="E17" s="6" t="s">
        <v>657</v>
      </c>
      <c r="F17" s="6" t="s">
        <v>676</v>
      </c>
      <c r="G17" s="40" t="s">
        <v>316</v>
      </c>
      <c r="H17" s="7" t="str">
        <f>INDEX(优化后功能框架!$C$5:$C$37,MATCH($G17,优化后功能框架!$A$5:$A$37,0))</f>
        <v>统一报名引擎</v>
      </c>
      <c r="I17" s="5" t="str">
        <f>INDEX(优化后功能框架!$F$5:$F$37,MATCH($G17,优化后功能框架!$A$5:$A$37,0))</f>
        <v>成员3</v>
      </c>
      <c r="J17" s="5" t="str">
        <f>INDEX(优化后功能框架!$G$5:$G$37,MATCH($G17,优化后功能框架!$A$5:$A$37,0))</f>
        <v>成员1</v>
      </c>
      <c r="K17" s="7" t="str">
        <f>INDEX(优化后功能框架!$H$5:$H$37,MATCH($G17,优化后功能框架!$A$5:$A$37,0))</f>
        <v>手写复杂页</v>
      </c>
      <c r="L17" s="5" t="str">
        <f>INDEX(优化后功能框架!$I$5:$I$37,MATCH($G17,优化后功能框架!$A$5:$A$37,0))</f>
        <v>L1</v>
      </c>
      <c r="M17" s="5" t="str">
        <f>INDEX(优化后功能框架!$J$5:$J$37,MATCH($G17,优化后功能框架!$A$5:$A$37,0))</f>
        <v>P0</v>
      </c>
      <c r="N17" s="5" t="str">
        <f>INDEX(优化后功能框架!$M$5:$M$37,MATCH($G17,优化后功能框架!$A$5:$A$37,0))</f>
        <v>D6</v>
      </c>
      <c r="O17" s="7"/>
      <c r="P17" s="5"/>
    </row>
    <row r="18" spans="1:16">
      <c r="A18" s="5">
        <v>14</v>
      </c>
      <c r="B18" s="8" t="s">
        <v>677</v>
      </c>
      <c r="C18" s="6" t="s">
        <v>648</v>
      </c>
      <c r="D18" s="6" t="s">
        <v>649</v>
      </c>
      <c r="E18" s="6" t="s">
        <v>657</v>
      </c>
      <c r="F18" s="6" t="s">
        <v>678</v>
      </c>
      <c r="G18" s="40" t="s">
        <v>316</v>
      </c>
      <c r="H18" s="7" t="str">
        <f>INDEX(优化后功能框架!$C$5:$C$37,MATCH($G18,优化后功能框架!$A$5:$A$37,0))</f>
        <v>统一报名引擎</v>
      </c>
      <c r="I18" s="5" t="str">
        <f>INDEX(优化后功能框架!$F$5:$F$37,MATCH($G18,优化后功能框架!$A$5:$A$37,0))</f>
        <v>成员3</v>
      </c>
      <c r="J18" s="5" t="str">
        <f>INDEX(优化后功能框架!$G$5:$G$37,MATCH($G18,优化后功能框架!$A$5:$A$37,0))</f>
        <v>成员1</v>
      </c>
      <c r="K18" s="7" t="str">
        <f>INDEX(优化后功能框架!$H$5:$H$37,MATCH($G18,优化后功能框架!$A$5:$A$37,0))</f>
        <v>手写复杂页</v>
      </c>
      <c r="L18" s="5" t="str">
        <f>INDEX(优化后功能框架!$I$5:$I$37,MATCH($G18,优化后功能框架!$A$5:$A$37,0))</f>
        <v>L1</v>
      </c>
      <c r="M18" s="5" t="str">
        <f>INDEX(优化后功能框架!$J$5:$J$37,MATCH($G18,优化后功能框架!$A$5:$A$37,0))</f>
        <v>P0</v>
      </c>
      <c r="N18" s="5" t="str">
        <f>INDEX(优化后功能框架!$M$5:$M$37,MATCH($G18,优化后功能框架!$A$5:$A$37,0))</f>
        <v>D6</v>
      </c>
      <c r="O18" s="7"/>
      <c r="P18" s="5"/>
    </row>
    <row r="19" spans="1:16">
      <c r="A19" s="5">
        <v>15</v>
      </c>
      <c r="B19" s="8" t="s">
        <v>679</v>
      </c>
      <c r="C19" s="6" t="s">
        <v>648</v>
      </c>
      <c r="D19" s="6" t="s">
        <v>649</v>
      </c>
      <c r="E19" s="6" t="s">
        <v>657</v>
      </c>
      <c r="F19" s="6" t="s">
        <v>680</v>
      </c>
      <c r="G19" s="40" t="s">
        <v>316</v>
      </c>
      <c r="H19" s="7" t="str">
        <f>INDEX(优化后功能框架!$C$5:$C$37,MATCH($G19,优化后功能框架!$A$5:$A$37,0))</f>
        <v>统一报名引擎</v>
      </c>
      <c r="I19" s="5" t="str">
        <f>INDEX(优化后功能框架!$F$5:$F$37,MATCH($G19,优化后功能框架!$A$5:$A$37,0))</f>
        <v>成员3</v>
      </c>
      <c r="J19" s="5" t="str">
        <f>INDEX(优化后功能框架!$G$5:$G$37,MATCH($G19,优化后功能框架!$A$5:$A$37,0))</f>
        <v>成员1</v>
      </c>
      <c r="K19" s="7" t="str">
        <f>INDEX(优化后功能框架!$H$5:$H$37,MATCH($G19,优化后功能框架!$A$5:$A$37,0))</f>
        <v>手写复杂页</v>
      </c>
      <c r="L19" s="5" t="str">
        <f>INDEX(优化后功能框架!$I$5:$I$37,MATCH($G19,优化后功能框架!$A$5:$A$37,0))</f>
        <v>L1</v>
      </c>
      <c r="M19" s="5" t="str">
        <f>INDEX(优化后功能框架!$J$5:$J$37,MATCH($G19,优化后功能框架!$A$5:$A$37,0))</f>
        <v>P0</v>
      </c>
      <c r="N19" s="5" t="str">
        <f>INDEX(优化后功能框架!$M$5:$M$37,MATCH($G19,优化后功能框架!$A$5:$A$37,0))</f>
        <v>D6</v>
      </c>
      <c r="O19" s="7"/>
      <c r="P19" s="5"/>
    </row>
    <row r="20" spans="1:16" ht="25">
      <c r="A20" s="5">
        <v>16</v>
      </c>
      <c r="B20" s="8" t="s">
        <v>681</v>
      </c>
      <c r="C20" s="6" t="s">
        <v>648</v>
      </c>
      <c r="D20" s="6" t="s">
        <v>649</v>
      </c>
      <c r="E20" s="6" t="s">
        <v>682</v>
      </c>
      <c r="F20" s="6" t="s">
        <v>683</v>
      </c>
      <c r="G20" s="40" t="s">
        <v>336</v>
      </c>
      <c r="H20" s="7" t="str">
        <f>INDEX(优化后功能框架!$C$5:$C$37,MATCH($G20,优化后功能框架!$A$5:$A$37,0))</f>
        <v>报名材料与文档</v>
      </c>
      <c r="I20" s="5" t="str">
        <f>INDEX(优化后功能框架!$F$5:$F$37,MATCH($G20,优化后功能框架!$A$5:$A$37,0))</f>
        <v>成员3</v>
      </c>
      <c r="J20" s="5" t="str">
        <f>INDEX(优化后功能框架!$G$5:$G$37,MATCH($G20,优化后功能框架!$A$5:$A$37,0))</f>
        <v>成员1</v>
      </c>
      <c r="K20" s="7" t="str">
        <f>INDEX(优化后功能框架!$H$5:$H$37,MATCH($G20,优化后功能框架!$A$5:$A$37,0))</f>
        <v>手写复杂页(含于报名页与审核台)</v>
      </c>
      <c r="L20" s="5" t="str">
        <f>INDEX(优化后功能框架!$I$5:$I$37,MATCH($G20,优化后功能框架!$A$5:$A$37,0))</f>
        <v>L1</v>
      </c>
      <c r="M20" s="5" t="str">
        <f>INDEX(优化后功能框架!$J$5:$J$37,MATCH($G20,优化后功能框架!$A$5:$A$37,0))</f>
        <v>P0</v>
      </c>
      <c r="N20" s="5" t="str">
        <f>INDEX(优化后功能框架!$M$5:$M$37,MATCH($G20,优化后功能框架!$A$5:$A$37,0))</f>
        <v>D7</v>
      </c>
      <c r="O20" s="7"/>
      <c r="P20" s="5"/>
    </row>
    <row r="21" spans="1:16" ht="25">
      <c r="A21" s="5">
        <v>17</v>
      </c>
      <c r="B21" s="8" t="s">
        <v>684</v>
      </c>
      <c r="C21" s="6" t="s">
        <v>648</v>
      </c>
      <c r="D21" s="6" t="s">
        <v>649</v>
      </c>
      <c r="E21" s="6" t="s">
        <v>682</v>
      </c>
      <c r="F21" s="6" t="s">
        <v>685</v>
      </c>
      <c r="G21" s="40" t="s">
        <v>336</v>
      </c>
      <c r="H21" s="7" t="str">
        <f>INDEX(优化后功能框架!$C$5:$C$37,MATCH($G21,优化后功能框架!$A$5:$A$37,0))</f>
        <v>报名材料与文档</v>
      </c>
      <c r="I21" s="5" t="str">
        <f>INDEX(优化后功能框架!$F$5:$F$37,MATCH($G21,优化后功能框架!$A$5:$A$37,0))</f>
        <v>成员3</v>
      </c>
      <c r="J21" s="5" t="str">
        <f>INDEX(优化后功能框架!$G$5:$G$37,MATCH($G21,优化后功能框架!$A$5:$A$37,0))</f>
        <v>成员1</v>
      </c>
      <c r="K21" s="7" t="str">
        <f>INDEX(优化后功能框架!$H$5:$H$37,MATCH($G21,优化后功能框架!$A$5:$A$37,0))</f>
        <v>手写复杂页(含于报名页与审核台)</v>
      </c>
      <c r="L21" s="5" t="str">
        <f>INDEX(优化后功能框架!$I$5:$I$37,MATCH($G21,优化后功能框架!$A$5:$A$37,0))</f>
        <v>L1</v>
      </c>
      <c r="M21" s="5" t="str">
        <f>INDEX(优化后功能框架!$J$5:$J$37,MATCH($G21,优化后功能框架!$A$5:$A$37,0))</f>
        <v>P0</v>
      </c>
      <c r="N21" s="5" t="str">
        <f>INDEX(优化后功能框架!$M$5:$M$37,MATCH($G21,优化后功能框架!$A$5:$A$37,0))</f>
        <v>D7</v>
      </c>
      <c r="O21" s="7"/>
      <c r="P21" s="5"/>
    </row>
    <row r="22" spans="1:16" ht="25">
      <c r="A22" s="5">
        <v>18</v>
      </c>
      <c r="B22" s="8" t="s">
        <v>686</v>
      </c>
      <c r="C22" s="6" t="s">
        <v>648</v>
      </c>
      <c r="D22" s="6" t="s">
        <v>649</v>
      </c>
      <c r="E22" s="6" t="s">
        <v>682</v>
      </c>
      <c r="F22" s="6" t="s">
        <v>687</v>
      </c>
      <c r="G22" s="40" t="s">
        <v>336</v>
      </c>
      <c r="H22" s="7" t="str">
        <f>INDEX(优化后功能框架!$C$5:$C$37,MATCH($G22,优化后功能框架!$A$5:$A$37,0))</f>
        <v>报名材料与文档</v>
      </c>
      <c r="I22" s="5" t="str">
        <f>INDEX(优化后功能框架!$F$5:$F$37,MATCH($G22,优化后功能框架!$A$5:$A$37,0))</f>
        <v>成员3</v>
      </c>
      <c r="J22" s="5" t="str">
        <f>INDEX(优化后功能框架!$G$5:$G$37,MATCH($G22,优化后功能框架!$A$5:$A$37,0))</f>
        <v>成员1</v>
      </c>
      <c r="K22" s="7" t="str">
        <f>INDEX(优化后功能框架!$H$5:$H$37,MATCH($G22,优化后功能框架!$A$5:$A$37,0))</f>
        <v>手写复杂页(含于报名页与审核台)</v>
      </c>
      <c r="L22" s="5" t="str">
        <f>INDEX(优化后功能框架!$I$5:$I$37,MATCH($G22,优化后功能框架!$A$5:$A$37,0))</f>
        <v>L1</v>
      </c>
      <c r="M22" s="5" t="str">
        <f>INDEX(优化后功能框架!$J$5:$J$37,MATCH($G22,优化后功能框架!$A$5:$A$37,0))</f>
        <v>P0</v>
      </c>
      <c r="N22" s="5" t="str">
        <f>INDEX(优化后功能框架!$M$5:$M$37,MATCH($G22,优化后功能框架!$A$5:$A$37,0))</f>
        <v>D7</v>
      </c>
      <c r="O22" s="7"/>
      <c r="P22" s="5"/>
    </row>
    <row r="23" spans="1:16" ht="25">
      <c r="A23" s="5">
        <v>19</v>
      </c>
      <c r="B23" s="8" t="s">
        <v>688</v>
      </c>
      <c r="C23" s="6" t="s">
        <v>648</v>
      </c>
      <c r="D23" s="6" t="s">
        <v>649</v>
      </c>
      <c r="E23" s="6" t="s">
        <v>682</v>
      </c>
      <c r="F23" s="6" t="s">
        <v>689</v>
      </c>
      <c r="G23" s="40" t="s">
        <v>336</v>
      </c>
      <c r="H23" s="7" t="str">
        <f>INDEX(优化后功能框架!$C$5:$C$37,MATCH($G23,优化后功能框架!$A$5:$A$37,0))</f>
        <v>报名材料与文档</v>
      </c>
      <c r="I23" s="5" t="str">
        <f>INDEX(优化后功能框架!$F$5:$F$37,MATCH($G23,优化后功能框架!$A$5:$A$37,0))</f>
        <v>成员3</v>
      </c>
      <c r="J23" s="5" t="str">
        <f>INDEX(优化后功能框架!$G$5:$G$37,MATCH($G23,优化后功能框架!$A$5:$A$37,0))</f>
        <v>成员1</v>
      </c>
      <c r="K23" s="7" t="str">
        <f>INDEX(优化后功能框架!$H$5:$H$37,MATCH($G23,优化后功能框架!$A$5:$A$37,0))</f>
        <v>手写复杂页(含于报名页与审核台)</v>
      </c>
      <c r="L23" s="5" t="str">
        <f>INDEX(优化后功能框架!$I$5:$I$37,MATCH($G23,优化后功能框架!$A$5:$A$37,0))</f>
        <v>L1</v>
      </c>
      <c r="M23" s="5" t="str">
        <f>INDEX(优化后功能框架!$J$5:$J$37,MATCH($G23,优化后功能框架!$A$5:$A$37,0))</f>
        <v>P0</v>
      </c>
      <c r="N23" s="5" t="str">
        <f>INDEX(优化后功能框架!$M$5:$M$37,MATCH($G23,优化后功能框架!$A$5:$A$37,0))</f>
        <v>D7</v>
      </c>
      <c r="O23" s="7"/>
      <c r="P23" s="5"/>
    </row>
    <row r="24" spans="1:16">
      <c r="A24" s="5">
        <v>20</v>
      </c>
      <c r="B24" s="8" t="s">
        <v>690</v>
      </c>
      <c r="C24" s="6" t="s">
        <v>648</v>
      </c>
      <c r="D24" s="6" t="s">
        <v>691</v>
      </c>
      <c r="E24" s="6" t="s">
        <v>692</v>
      </c>
      <c r="F24" s="6" t="s">
        <v>693</v>
      </c>
      <c r="G24" s="40" t="s">
        <v>567</v>
      </c>
      <c r="H24" s="7" t="str">
        <f>INDEX(优化后功能框架!$C$5:$C$37,MATCH($G24,优化后功能框架!$A$5:$A$37,0))</f>
        <v>多级审核</v>
      </c>
      <c r="I24" s="5" t="str">
        <f>INDEX(优化后功能框架!$F$5:$F$37,MATCH($G24,优化后功能框架!$A$5:$A$37,0))</f>
        <v>成员3</v>
      </c>
      <c r="J24" s="5" t="str">
        <f>INDEX(优化后功能框架!$G$5:$G$37,MATCH($G24,优化后功能框架!$A$5:$A$37,0))</f>
        <v>成员1</v>
      </c>
      <c r="K24" s="7" t="str">
        <f>INDEX(优化后功能框架!$H$5:$H$37,MATCH($G24,优化后功能框架!$A$5:$A$37,0))</f>
        <v>手写复杂页</v>
      </c>
      <c r="L24" s="5" t="str">
        <f>INDEX(优化后功能框架!$I$5:$I$37,MATCH($G24,优化后功能框架!$A$5:$A$37,0))</f>
        <v>L1</v>
      </c>
      <c r="M24" s="5" t="str">
        <f>INDEX(优化后功能框架!$J$5:$J$37,MATCH($G24,优化后功能框架!$A$5:$A$37,0))</f>
        <v>P0</v>
      </c>
      <c r="N24" s="5" t="str">
        <f>INDEX(优化后功能框架!$M$5:$M$37,MATCH($G24,优化后功能框架!$A$5:$A$37,0))</f>
        <v>D5</v>
      </c>
      <c r="O24" s="7"/>
      <c r="P24" s="5"/>
    </row>
    <row r="25" spans="1:16">
      <c r="A25" s="5">
        <v>21</v>
      </c>
      <c r="B25" s="8" t="s">
        <v>694</v>
      </c>
      <c r="C25" s="6" t="s">
        <v>648</v>
      </c>
      <c r="D25" s="6" t="s">
        <v>691</v>
      </c>
      <c r="E25" s="6" t="s">
        <v>692</v>
      </c>
      <c r="F25" s="6" t="s">
        <v>695</v>
      </c>
      <c r="G25" s="40" t="s">
        <v>567</v>
      </c>
      <c r="H25" s="7" t="str">
        <f>INDEX(优化后功能框架!$C$5:$C$37,MATCH($G25,优化后功能框架!$A$5:$A$37,0))</f>
        <v>多级审核</v>
      </c>
      <c r="I25" s="5" t="str">
        <f>INDEX(优化后功能框架!$F$5:$F$37,MATCH($G25,优化后功能框架!$A$5:$A$37,0))</f>
        <v>成员3</v>
      </c>
      <c r="J25" s="5" t="str">
        <f>INDEX(优化后功能框架!$G$5:$G$37,MATCH($G25,优化后功能框架!$A$5:$A$37,0))</f>
        <v>成员1</v>
      </c>
      <c r="K25" s="7" t="str">
        <f>INDEX(优化后功能框架!$H$5:$H$37,MATCH($G25,优化后功能框架!$A$5:$A$37,0))</f>
        <v>手写复杂页</v>
      </c>
      <c r="L25" s="5" t="str">
        <f>INDEX(优化后功能框架!$I$5:$I$37,MATCH($G25,优化后功能框架!$A$5:$A$37,0))</f>
        <v>L1</v>
      </c>
      <c r="M25" s="5" t="str">
        <f>INDEX(优化后功能框架!$J$5:$J$37,MATCH($G25,优化后功能框架!$A$5:$A$37,0))</f>
        <v>P0</v>
      </c>
      <c r="N25" s="5" t="str">
        <f>INDEX(优化后功能框架!$M$5:$M$37,MATCH($G25,优化后功能框架!$A$5:$A$37,0))</f>
        <v>D5</v>
      </c>
      <c r="O25" s="7"/>
      <c r="P25" s="5"/>
    </row>
    <row r="26" spans="1:16">
      <c r="A26" s="5">
        <v>22</v>
      </c>
      <c r="B26" s="8" t="s">
        <v>696</v>
      </c>
      <c r="C26" s="6" t="s">
        <v>648</v>
      </c>
      <c r="D26" s="6" t="s">
        <v>691</v>
      </c>
      <c r="E26" s="6" t="s">
        <v>697</v>
      </c>
      <c r="F26" s="6" t="s">
        <v>698</v>
      </c>
      <c r="G26" s="40" t="s">
        <v>316</v>
      </c>
      <c r="H26" s="7" t="str">
        <f>INDEX(优化后功能框架!$C$5:$C$37,MATCH($G26,优化后功能框架!$A$5:$A$37,0))</f>
        <v>统一报名引擎</v>
      </c>
      <c r="I26" s="5" t="str">
        <f>INDEX(优化后功能框架!$F$5:$F$37,MATCH($G26,优化后功能框架!$A$5:$A$37,0))</f>
        <v>成员3</v>
      </c>
      <c r="J26" s="5" t="str">
        <f>INDEX(优化后功能框架!$G$5:$G$37,MATCH($G26,优化后功能框架!$A$5:$A$37,0))</f>
        <v>成员1</v>
      </c>
      <c r="K26" s="7" t="str">
        <f>INDEX(优化后功能框架!$H$5:$H$37,MATCH($G26,优化后功能框架!$A$5:$A$37,0))</f>
        <v>手写复杂页</v>
      </c>
      <c r="L26" s="5" t="str">
        <f>INDEX(优化后功能框架!$I$5:$I$37,MATCH($G26,优化后功能框架!$A$5:$A$37,0))</f>
        <v>L1</v>
      </c>
      <c r="M26" s="5" t="str">
        <f>INDEX(优化后功能框架!$J$5:$J$37,MATCH($G26,优化后功能框架!$A$5:$A$37,0))</f>
        <v>P0</v>
      </c>
      <c r="N26" s="5" t="str">
        <f>INDEX(优化后功能框架!$M$5:$M$37,MATCH($G26,优化后功能框架!$A$5:$A$37,0))</f>
        <v>D6</v>
      </c>
      <c r="O26" s="7"/>
      <c r="P26" s="5"/>
    </row>
    <row r="27" spans="1:16">
      <c r="A27" s="5">
        <v>23</v>
      </c>
      <c r="B27" s="8" t="s">
        <v>699</v>
      </c>
      <c r="C27" s="6" t="s">
        <v>648</v>
      </c>
      <c r="D27" s="6" t="s">
        <v>691</v>
      </c>
      <c r="E27" s="6" t="s">
        <v>697</v>
      </c>
      <c r="F27" s="6" t="s">
        <v>658</v>
      </c>
      <c r="G27" s="40" t="s">
        <v>316</v>
      </c>
      <c r="H27" s="7" t="str">
        <f>INDEX(优化后功能框架!$C$5:$C$37,MATCH($G27,优化后功能框架!$A$5:$A$37,0))</f>
        <v>统一报名引擎</v>
      </c>
      <c r="I27" s="5" t="str">
        <f>INDEX(优化后功能框架!$F$5:$F$37,MATCH($G27,优化后功能框架!$A$5:$A$37,0))</f>
        <v>成员3</v>
      </c>
      <c r="J27" s="5" t="str">
        <f>INDEX(优化后功能框架!$G$5:$G$37,MATCH($G27,优化后功能框架!$A$5:$A$37,0))</f>
        <v>成员1</v>
      </c>
      <c r="K27" s="7" t="str">
        <f>INDEX(优化后功能框架!$H$5:$H$37,MATCH($G27,优化后功能框架!$A$5:$A$37,0))</f>
        <v>手写复杂页</v>
      </c>
      <c r="L27" s="5" t="str">
        <f>INDEX(优化后功能框架!$I$5:$I$37,MATCH($G27,优化后功能框架!$A$5:$A$37,0))</f>
        <v>L1</v>
      </c>
      <c r="M27" s="5" t="str">
        <f>INDEX(优化后功能框架!$J$5:$J$37,MATCH($G27,优化后功能框架!$A$5:$A$37,0))</f>
        <v>P0</v>
      </c>
      <c r="N27" s="5" t="str">
        <f>INDEX(优化后功能框架!$M$5:$M$37,MATCH($G27,优化后功能框架!$A$5:$A$37,0))</f>
        <v>D6</v>
      </c>
      <c r="O27" s="7"/>
      <c r="P27" s="5"/>
    </row>
    <row r="28" spans="1:16">
      <c r="A28" s="5">
        <v>24</v>
      </c>
      <c r="B28" s="8" t="s">
        <v>700</v>
      </c>
      <c r="C28" s="6" t="s">
        <v>648</v>
      </c>
      <c r="D28" s="6" t="s">
        <v>691</v>
      </c>
      <c r="E28" s="6" t="s">
        <v>697</v>
      </c>
      <c r="F28" s="6" t="s">
        <v>664</v>
      </c>
      <c r="G28" s="40" t="s">
        <v>316</v>
      </c>
      <c r="H28" s="7" t="str">
        <f>INDEX(优化后功能框架!$C$5:$C$37,MATCH($G28,优化后功能框架!$A$5:$A$37,0))</f>
        <v>统一报名引擎</v>
      </c>
      <c r="I28" s="5" t="str">
        <f>INDEX(优化后功能框架!$F$5:$F$37,MATCH($G28,优化后功能框架!$A$5:$A$37,0))</f>
        <v>成员3</v>
      </c>
      <c r="J28" s="5" t="str">
        <f>INDEX(优化后功能框架!$G$5:$G$37,MATCH($G28,优化后功能框架!$A$5:$A$37,0))</f>
        <v>成员1</v>
      </c>
      <c r="K28" s="7" t="str">
        <f>INDEX(优化后功能框架!$H$5:$H$37,MATCH($G28,优化后功能框架!$A$5:$A$37,0))</f>
        <v>手写复杂页</v>
      </c>
      <c r="L28" s="5" t="str">
        <f>INDEX(优化后功能框架!$I$5:$I$37,MATCH($G28,优化后功能框架!$A$5:$A$37,0))</f>
        <v>L1</v>
      </c>
      <c r="M28" s="5" t="str">
        <f>INDEX(优化后功能框架!$J$5:$J$37,MATCH($G28,优化后功能框架!$A$5:$A$37,0))</f>
        <v>P0</v>
      </c>
      <c r="N28" s="5" t="str">
        <f>INDEX(优化后功能框架!$M$5:$M$37,MATCH($G28,优化后功能框架!$A$5:$A$37,0))</f>
        <v>D6</v>
      </c>
      <c r="O28" s="7"/>
      <c r="P28" s="5"/>
    </row>
    <row r="29" spans="1:16">
      <c r="A29" s="5">
        <v>25</v>
      </c>
      <c r="B29" s="8" t="s">
        <v>701</v>
      </c>
      <c r="C29" s="6" t="s">
        <v>648</v>
      </c>
      <c r="D29" s="6" t="s">
        <v>691</v>
      </c>
      <c r="E29" s="6" t="s">
        <v>697</v>
      </c>
      <c r="F29" s="6" t="s">
        <v>668</v>
      </c>
      <c r="G29" s="40" t="s">
        <v>316</v>
      </c>
      <c r="H29" s="7" t="str">
        <f>INDEX(优化后功能框架!$C$5:$C$37,MATCH($G29,优化后功能框架!$A$5:$A$37,0))</f>
        <v>统一报名引擎</v>
      </c>
      <c r="I29" s="5" t="str">
        <f>INDEX(优化后功能框架!$F$5:$F$37,MATCH($G29,优化后功能框架!$A$5:$A$37,0))</f>
        <v>成员3</v>
      </c>
      <c r="J29" s="5" t="str">
        <f>INDEX(优化后功能框架!$G$5:$G$37,MATCH($G29,优化后功能框架!$A$5:$A$37,0))</f>
        <v>成员1</v>
      </c>
      <c r="K29" s="7" t="str">
        <f>INDEX(优化后功能框架!$H$5:$H$37,MATCH($G29,优化后功能框架!$A$5:$A$37,0))</f>
        <v>手写复杂页</v>
      </c>
      <c r="L29" s="5" t="str">
        <f>INDEX(优化后功能框架!$I$5:$I$37,MATCH($G29,优化后功能框架!$A$5:$A$37,0))</f>
        <v>L1</v>
      </c>
      <c r="M29" s="5" t="str">
        <f>INDEX(优化后功能框架!$J$5:$J$37,MATCH($G29,优化后功能框架!$A$5:$A$37,0))</f>
        <v>P0</v>
      </c>
      <c r="N29" s="5" t="str">
        <f>INDEX(优化后功能框架!$M$5:$M$37,MATCH($G29,优化后功能框架!$A$5:$A$37,0))</f>
        <v>D6</v>
      </c>
      <c r="O29" s="7"/>
      <c r="P29" s="5"/>
    </row>
    <row r="30" spans="1:16">
      <c r="A30" s="5">
        <v>26</v>
      </c>
      <c r="B30" s="8" t="s">
        <v>702</v>
      </c>
      <c r="C30" s="6" t="s">
        <v>648</v>
      </c>
      <c r="D30" s="6" t="s">
        <v>691</v>
      </c>
      <c r="E30" s="6" t="s">
        <v>697</v>
      </c>
      <c r="F30" s="6" t="s">
        <v>703</v>
      </c>
      <c r="G30" s="40" t="s">
        <v>316</v>
      </c>
      <c r="H30" s="7" t="str">
        <f>INDEX(优化后功能框架!$C$5:$C$37,MATCH($G30,优化后功能框架!$A$5:$A$37,0))</f>
        <v>统一报名引擎</v>
      </c>
      <c r="I30" s="5" t="str">
        <f>INDEX(优化后功能框架!$F$5:$F$37,MATCH($G30,优化后功能框架!$A$5:$A$37,0))</f>
        <v>成员3</v>
      </c>
      <c r="J30" s="5" t="str">
        <f>INDEX(优化后功能框架!$G$5:$G$37,MATCH($G30,优化后功能框架!$A$5:$A$37,0))</f>
        <v>成员1</v>
      </c>
      <c r="K30" s="7" t="str">
        <f>INDEX(优化后功能框架!$H$5:$H$37,MATCH($G30,优化后功能框架!$A$5:$A$37,0))</f>
        <v>手写复杂页</v>
      </c>
      <c r="L30" s="5" t="str">
        <f>INDEX(优化后功能框架!$I$5:$I$37,MATCH($G30,优化后功能框架!$A$5:$A$37,0))</f>
        <v>L1</v>
      </c>
      <c r="M30" s="5" t="str">
        <f>INDEX(优化后功能框架!$J$5:$J$37,MATCH($G30,优化后功能框架!$A$5:$A$37,0))</f>
        <v>P0</v>
      </c>
      <c r="N30" s="5" t="str">
        <f>INDEX(优化后功能框架!$M$5:$M$37,MATCH($G30,优化后功能框架!$A$5:$A$37,0))</f>
        <v>D6</v>
      </c>
      <c r="O30" s="7"/>
      <c r="P30" s="5"/>
    </row>
    <row r="31" spans="1:16">
      <c r="A31" s="5">
        <v>27</v>
      </c>
      <c r="B31" s="8" t="s">
        <v>704</v>
      </c>
      <c r="C31" s="6" t="s">
        <v>648</v>
      </c>
      <c r="D31" s="6" t="s">
        <v>691</v>
      </c>
      <c r="E31" s="6" t="s">
        <v>697</v>
      </c>
      <c r="F31" s="6" t="s">
        <v>666</v>
      </c>
      <c r="G31" s="40" t="s">
        <v>316</v>
      </c>
      <c r="H31" s="7" t="str">
        <f>INDEX(优化后功能框架!$C$5:$C$37,MATCH($G31,优化后功能框架!$A$5:$A$37,0))</f>
        <v>统一报名引擎</v>
      </c>
      <c r="I31" s="5" t="str">
        <f>INDEX(优化后功能框架!$F$5:$F$37,MATCH($G31,优化后功能框架!$A$5:$A$37,0))</f>
        <v>成员3</v>
      </c>
      <c r="J31" s="5" t="str">
        <f>INDEX(优化后功能框架!$G$5:$G$37,MATCH($G31,优化后功能框架!$A$5:$A$37,0))</f>
        <v>成员1</v>
      </c>
      <c r="K31" s="7" t="str">
        <f>INDEX(优化后功能框架!$H$5:$H$37,MATCH($G31,优化后功能框架!$A$5:$A$37,0))</f>
        <v>手写复杂页</v>
      </c>
      <c r="L31" s="5" t="str">
        <f>INDEX(优化后功能框架!$I$5:$I$37,MATCH($G31,优化后功能框架!$A$5:$A$37,0))</f>
        <v>L1</v>
      </c>
      <c r="M31" s="5" t="str">
        <f>INDEX(优化后功能框架!$J$5:$J$37,MATCH($G31,优化后功能框架!$A$5:$A$37,0))</f>
        <v>P0</v>
      </c>
      <c r="N31" s="5" t="str">
        <f>INDEX(优化后功能框架!$M$5:$M$37,MATCH($G31,优化后功能框架!$A$5:$A$37,0))</f>
        <v>D6</v>
      </c>
      <c r="O31" s="7"/>
      <c r="P31" s="5"/>
    </row>
    <row r="32" spans="1:16">
      <c r="A32" s="5">
        <v>28</v>
      </c>
      <c r="B32" s="8" t="s">
        <v>705</v>
      </c>
      <c r="C32" s="6" t="s">
        <v>648</v>
      </c>
      <c r="D32" s="6" t="s">
        <v>691</v>
      </c>
      <c r="E32" s="6" t="s">
        <v>697</v>
      </c>
      <c r="F32" s="6" t="s">
        <v>670</v>
      </c>
      <c r="G32" s="40" t="s">
        <v>316</v>
      </c>
      <c r="H32" s="7" t="str">
        <f>INDEX(优化后功能框架!$C$5:$C$37,MATCH($G32,优化后功能框架!$A$5:$A$37,0))</f>
        <v>统一报名引擎</v>
      </c>
      <c r="I32" s="5" t="str">
        <f>INDEX(优化后功能框架!$F$5:$F$37,MATCH($G32,优化后功能框架!$A$5:$A$37,0))</f>
        <v>成员3</v>
      </c>
      <c r="J32" s="5" t="str">
        <f>INDEX(优化后功能框架!$G$5:$G$37,MATCH($G32,优化后功能框架!$A$5:$A$37,0))</f>
        <v>成员1</v>
      </c>
      <c r="K32" s="7" t="str">
        <f>INDEX(优化后功能框架!$H$5:$H$37,MATCH($G32,优化后功能框架!$A$5:$A$37,0))</f>
        <v>手写复杂页</v>
      </c>
      <c r="L32" s="5" t="str">
        <f>INDEX(优化后功能框架!$I$5:$I$37,MATCH($G32,优化后功能框架!$A$5:$A$37,0))</f>
        <v>L1</v>
      </c>
      <c r="M32" s="5" t="str">
        <f>INDEX(优化后功能框架!$J$5:$J$37,MATCH($G32,优化后功能框架!$A$5:$A$37,0))</f>
        <v>P0</v>
      </c>
      <c r="N32" s="5" t="str">
        <f>INDEX(优化后功能框架!$M$5:$M$37,MATCH($G32,优化后功能框架!$A$5:$A$37,0))</f>
        <v>D6</v>
      </c>
      <c r="O32" s="7"/>
      <c r="P32" s="5"/>
    </row>
    <row r="33" spans="1:16">
      <c r="A33" s="5">
        <v>29</v>
      </c>
      <c r="B33" s="8" t="s">
        <v>706</v>
      </c>
      <c r="C33" s="6" t="s">
        <v>648</v>
      </c>
      <c r="D33" s="6" t="s">
        <v>691</v>
      </c>
      <c r="E33" s="6" t="s">
        <v>697</v>
      </c>
      <c r="F33" s="6" t="s">
        <v>672</v>
      </c>
      <c r="G33" s="40" t="s">
        <v>316</v>
      </c>
      <c r="H33" s="7" t="str">
        <f>INDEX(优化后功能框架!$C$5:$C$37,MATCH($G33,优化后功能框架!$A$5:$A$37,0))</f>
        <v>统一报名引擎</v>
      </c>
      <c r="I33" s="5" t="str">
        <f>INDEX(优化后功能框架!$F$5:$F$37,MATCH($G33,优化后功能框架!$A$5:$A$37,0))</f>
        <v>成员3</v>
      </c>
      <c r="J33" s="5" t="str">
        <f>INDEX(优化后功能框架!$G$5:$G$37,MATCH($G33,优化后功能框架!$A$5:$A$37,0))</f>
        <v>成员1</v>
      </c>
      <c r="K33" s="7" t="str">
        <f>INDEX(优化后功能框架!$H$5:$H$37,MATCH($G33,优化后功能框架!$A$5:$A$37,0))</f>
        <v>手写复杂页</v>
      </c>
      <c r="L33" s="5" t="str">
        <f>INDEX(优化后功能框架!$I$5:$I$37,MATCH($G33,优化后功能框架!$A$5:$A$37,0))</f>
        <v>L1</v>
      </c>
      <c r="M33" s="5" t="str">
        <f>INDEX(优化后功能框架!$J$5:$J$37,MATCH($G33,优化后功能框架!$A$5:$A$37,0))</f>
        <v>P0</v>
      </c>
      <c r="N33" s="5" t="str">
        <f>INDEX(优化后功能框架!$M$5:$M$37,MATCH($G33,优化后功能框架!$A$5:$A$37,0))</f>
        <v>D6</v>
      </c>
      <c r="O33" s="7"/>
      <c r="P33" s="5"/>
    </row>
    <row r="34" spans="1:16">
      <c r="A34" s="5">
        <v>30</v>
      </c>
      <c r="B34" s="8" t="s">
        <v>707</v>
      </c>
      <c r="C34" s="6" t="s">
        <v>648</v>
      </c>
      <c r="D34" s="6" t="s">
        <v>691</v>
      </c>
      <c r="E34" s="6" t="s">
        <v>697</v>
      </c>
      <c r="F34" s="6" t="s">
        <v>674</v>
      </c>
      <c r="G34" s="40" t="s">
        <v>316</v>
      </c>
      <c r="H34" s="7" t="str">
        <f>INDEX(优化后功能框架!$C$5:$C$37,MATCH($G34,优化后功能框架!$A$5:$A$37,0))</f>
        <v>统一报名引擎</v>
      </c>
      <c r="I34" s="5" t="str">
        <f>INDEX(优化后功能框架!$F$5:$F$37,MATCH($G34,优化后功能框架!$A$5:$A$37,0))</f>
        <v>成员3</v>
      </c>
      <c r="J34" s="5" t="str">
        <f>INDEX(优化后功能框架!$G$5:$G$37,MATCH($G34,优化后功能框架!$A$5:$A$37,0))</f>
        <v>成员1</v>
      </c>
      <c r="K34" s="7" t="str">
        <f>INDEX(优化后功能框架!$H$5:$H$37,MATCH($G34,优化后功能框架!$A$5:$A$37,0))</f>
        <v>手写复杂页</v>
      </c>
      <c r="L34" s="5" t="str">
        <f>INDEX(优化后功能框架!$I$5:$I$37,MATCH($G34,优化后功能框架!$A$5:$A$37,0))</f>
        <v>L1</v>
      </c>
      <c r="M34" s="5" t="str">
        <f>INDEX(优化后功能框架!$J$5:$J$37,MATCH($G34,优化后功能框架!$A$5:$A$37,0))</f>
        <v>P0</v>
      </c>
      <c r="N34" s="5" t="str">
        <f>INDEX(优化后功能框架!$M$5:$M$37,MATCH($G34,优化后功能框架!$A$5:$A$37,0))</f>
        <v>D6</v>
      </c>
      <c r="O34" s="7"/>
      <c r="P34" s="5"/>
    </row>
    <row r="35" spans="1:16">
      <c r="A35" s="5">
        <v>31</v>
      </c>
      <c r="B35" s="8" t="s">
        <v>708</v>
      </c>
      <c r="C35" s="6" t="s">
        <v>648</v>
      </c>
      <c r="D35" s="6" t="s">
        <v>691</v>
      </c>
      <c r="E35" s="6" t="s">
        <v>697</v>
      </c>
      <c r="F35" s="6" t="s">
        <v>676</v>
      </c>
      <c r="G35" s="40" t="s">
        <v>316</v>
      </c>
      <c r="H35" s="7" t="str">
        <f>INDEX(优化后功能框架!$C$5:$C$37,MATCH($G35,优化后功能框架!$A$5:$A$37,0))</f>
        <v>统一报名引擎</v>
      </c>
      <c r="I35" s="5" t="str">
        <f>INDEX(优化后功能框架!$F$5:$F$37,MATCH($G35,优化后功能框架!$A$5:$A$37,0))</f>
        <v>成员3</v>
      </c>
      <c r="J35" s="5" t="str">
        <f>INDEX(优化后功能框架!$G$5:$G$37,MATCH($G35,优化后功能框架!$A$5:$A$37,0))</f>
        <v>成员1</v>
      </c>
      <c r="K35" s="7" t="str">
        <f>INDEX(优化后功能框架!$H$5:$H$37,MATCH($G35,优化后功能框架!$A$5:$A$37,0))</f>
        <v>手写复杂页</v>
      </c>
      <c r="L35" s="5" t="str">
        <f>INDEX(优化后功能框架!$I$5:$I$37,MATCH($G35,优化后功能框架!$A$5:$A$37,0))</f>
        <v>L1</v>
      </c>
      <c r="M35" s="5" t="str">
        <f>INDEX(优化后功能框架!$J$5:$J$37,MATCH($G35,优化后功能框架!$A$5:$A$37,0))</f>
        <v>P0</v>
      </c>
      <c r="N35" s="5" t="str">
        <f>INDEX(优化后功能框架!$M$5:$M$37,MATCH($G35,优化后功能框架!$A$5:$A$37,0))</f>
        <v>D6</v>
      </c>
      <c r="O35" s="7"/>
      <c r="P35" s="5"/>
    </row>
    <row r="36" spans="1:16">
      <c r="A36" s="5">
        <v>32</v>
      </c>
      <c r="B36" s="8" t="s">
        <v>709</v>
      </c>
      <c r="C36" s="6" t="s">
        <v>648</v>
      </c>
      <c r="D36" s="6" t="s">
        <v>691</v>
      </c>
      <c r="E36" s="6" t="s">
        <v>697</v>
      </c>
      <c r="F36" s="6" t="s">
        <v>710</v>
      </c>
      <c r="G36" s="40" t="s">
        <v>316</v>
      </c>
      <c r="H36" s="7" t="str">
        <f>INDEX(优化后功能框架!$C$5:$C$37,MATCH($G36,优化后功能框架!$A$5:$A$37,0))</f>
        <v>统一报名引擎</v>
      </c>
      <c r="I36" s="5" t="str">
        <f>INDEX(优化后功能框架!$F$5:$F$37,MATCH($G36,优化后功能框架!$A$5:$A$37,0))</f>
        <v>成员3</v>
      </c>
      <c r="J36" s="5" t="str">
        <f>INDEX(优化后功能框架!$G$5:$G$37,MATCH($G36,优化后功能框架!$A$5:$A$37,0))</f>
        <v>成员1</v>
      </c>
      <c r="K36" s="7" t="str">
        <f>INDEX(优化后功能框架!$H$5:$H$37,MATCH($G36,优化后功能框架!$A$5:$A$37,0))</f>
        <v>手写复杂页</v>
      </c>
      <c r="L36" s="5" t="str">
        <f>INDEX(优化后功能框架!$I$5:$I$37,MATCH($G36,优化后功能框架!$A$5:$A$37,0))</f>
        <v>L1</v>
      </c>
      <c r="M36" s="5" t="str">
        <f>INDEX(优化后功能框架!$J$5:$J$37,MATCH($G36,优化后功能框架!$A$5:$A$37,0))</f>
        <v>P0</v>
      </c>
      <c r="N36" s="5" t="str">
        <f>INDEX(优化后功能框架!$M$5:$M$37,MATCH($G36,优化后功能框架!$A$5:$A$37,0))</f>
        <v>D6</v>
      </c>
      <c r="O36" s="7"/>
      <c r="P36" s="5"/>
    </row>
    <row r="37" spans="1:16">
      <c r="A37" s="5">
        <v>33</v>
      </c>
      <c r="B37" s="8" t="s">
        <v>711</v>
      </c>
      <c r="C37" s="6" t="s">
        <v>648</v>
      </c>
      <c r="D37" s="6" t="s">
        <v>691</v>
      </c>
      <c r="E37" s="6" t="s">
        <v>697</v>
      </c>
      <c r="F37" s="6" t="s">
        <v>712</v>
      </c>
      <c r="G37" s="40" t="s">
        <v>316</v>
      </c>
      <c r="H37" s="7" t="str">
        <f>INDEX(优化后功能框架!$C$5:$C$37,MATCH($G37,优化后功能框架!$A$5:$A$37,0))</f>
        <v>统一报名引擎</v>
      </c>
      <c r="I37" s="5" t="str">
        <f>INDEX(优化后功能框架!$F$5:$F$37,MATCH($G37,优化后功能框架!$A$5:$A$37,0))</f>
        <v>成员3</v>
      </c>
      <c r="J37" s="5" t="str">
        <f>INDEX(优化后功能框架!$G$5:$G$37,MATCH($G37,优化后功能框架!$A$5:$A$37,0))</f>
        <v>成员1</v>
      </c>
      <c r="K37" s="7" t="str">
        <f>INDEX(优化后功能框架!$H$5:$H$37,MATCH($G37,优化后功能框架!$A$5:$A$37,0))</f>
        <v>手写复杂页</v>
      </c>
      <c r="L37" s="5" t="str">
        <f>INDEX(优化后功能框架!$I$5:$I$37,MATCH($G37,优化后功能框架!$A$5:$A$37,0))</f>
        <v>L1</v>
      </c>
      <c r="M37" s="5" t="str">
        <f>INDEX(优化后功能框架!$J$5:$J$37,MATCH($G37,优化后功能框架!$A$5:$A$37,0))</f>
        <v>P0</v>
      </c>
      <c r="N37" s="5" t="str">
        <f>INDEX(优化后功能框架!$M$5:$M$37,MATCH($G37,优化后功能框架!$A$5:$A$37,0))</f>
        <v>D6</v>
      </c>
      <c r="O37" s="7"/>
      <c r="P37" s="5"/>
    </row>
    <row r="38" spans="1:16" ht="25">
      <c r="A38" s="5">
        <v>34</v>
      </c>
      <c r="B38" s="8" t="s">
        <v>713</v>
      </c>
      <c r="C38" s="6" t="s">
        <v>648</v>
      </c>
      <c r="D38" s="6" t="s">
        <v>691</v>
      </c>
      <c r="E38" s="6" t="s">
        <v>714</v>
      </c>
      <c r="F38" s="6" t="s">
        <v>715</v>
      </c>
      <c r="G38" s="40" t="s">
        <v>336</v>
      </c>
      <c r="H38" s="7" t="str">
        <f>INDEX(优化后功能框架!$C$5:$C$37,MATCH($G38,优化后功能框架!$A$5:$A$37,0))</f>
        <v>报名材料与文档</v>
      </c>
      <c r="I38" s="5" t="str">
        <f>INDEX(优化后功能框架!$F$5:$F$37,MATCH($G38,优化后功能框架!$A$5:$A$37,0))</f>
        <v>成员3</v>
      </c>
      <c r="J38" s="5" t="str">
        <f>INDEX(优化后功能框架!$G$5:$G$37,MATCH($G38,优化后功能框架!$A$5:$A$37,0))</f>
        <v>成员1</v>
      </c>
      <c r="K38" s="7" t="str">
        <f>INDEX(优化后功能框架!$H$5:$H$37,MATCH($G38,优化后功能框架!$A$5:$A$37,0))</f>
        <v>手写复杂页(含于报名页与审核台)</v>
      </c>
      <c r="L38" s="5" t="str">
        <f>INDEX(优化后功能框架!$I$5:$I$37,MATCH($G38,优化后功能框架!$A$5:$A$37,0))</f>
        <v>L1</v>
      </c>
      <c r="M38" s="5" t="str">
        <f>INDEX(优化后功能框架!$J$5:$J$37,MATCH($G38,优化后功能框架!$A$5:$A$37,0))</f>
        <v>P0</v>
      </c>
      <c r="N38" s="5" t="str">
        <f>INDEX(优化后功能框架!$M$5:$M$37,MATCH($G38,优化后功能框架!$A$5:$A$37,0))</f>
        <v>D7</v>
      </c>
      <c r="O38" s="7"/>
      <c r="P38" s="5"/>
    </row>
    <row r="39" spans="1:16" ht="25">
      <c r="A39" s="5">
        <v>35</v>
      </c>
      <c r="B39" s="8" t="s">
        <v>716</v>
      </c>
      <c r="C39" s="6" t="s">
        <v>648</v>
      </c>
      <c r="D39" s="6" t="s">
        <v>691</v>
      </c>
      <c r="E39" s="6" t="s">
        <v>714</v>
      </c>
      <c r="F39" s="6" t="s">
        <v>717</v>
      </c>
      <c r="G39" s="40" t="s">
        <v>336</v>
      </c>
      <c r="H39" s="7" t="str">
        <f>INDEX(优化后功能框架!$C$5:$C$37,MATCH($G39,优化后功能框架!$A$5:$A$37,0))</f>
        <v>报名材料与文档</v>
      </c>
      <c r="I39" s="5" t="str">
        <f>INDEX(优化后功能框架!$F$5:$F$37,MATCH($G39,优化后功能框架!$A$5:$A$37,0))</f>
        <v>成员3</v>
      </c>
      <c r="J39" s="5" t="str">
        <f>INDEX(优化后功能框架!$G$5:$G$37,MATCH($G39,优化后功能框架!$A$5:$A$37,0))</f>
        <v>成员1</v>
      </c>
      <c r="K39" s="7" t="str">
        <f>INDEX(优化后功能框架!$H$5:$H$37,MATCH($G39,优化后功能框架!$A$5:$A$37,0))</f>
        <v>手写复杂页(含于报名页与审核台)</v>
      </c>
      <c r="L39" s="5" t="str">
        <f>INDEX(优化后功能框架!$I$5:$I$37,MATCH($G39,优化后功能框架!$A$5:$A$37,0))</f>
        <v>L1</v>
      </c>
      <c r="M39" s="5" t="str">
        <f>INDEX(优化后功能框架!$J$5:$J$37,MATCH($G39,优化后功能框架!$A$5:$A$37,0))</f>
        <v>P0</v>
      </c>
      <c r="N39" s="5" t="str">
        <f>INDEX(优化后功能框架!$M$5:$M$37,MATCH($G39,优化后功能框架!$A$5:$A$37,0))</f>
        <v>D7</v>
      </c>
      <c r="O39" s="7"/>
      <c r="P39" s="5"/>
    </row>
    <row r="40" spans="1:16" ht="25">
      <c r="A40" s="5">
        <v>36</v>
      </c>
      <c r="B40" s="8" t="s">
        <v>718</v>
      </c>
      <c r="C40" s="6" t="s">
        <v>648</v>
      </c>
      <c r="D40" s="6" t="s">
        <v>691</v>
      </c>
      <c r="E40" s="6" t="s">
        <v>714</v>
      </c>
      <c r="F40" s="6" t="s">
        <v>687</v>
      </c>
      <c r="G40" s="40" t="s">
        <v>336</v>
      </c>
      <c r="H40" s="7" t="str">
        <f>INDEX(优化后功能框架!$C$5:$C$37,MATCH($G40,优化后功能框架!$A$5:$A$37,0))</f>
        <v>报名材料与文档</v>
      </c>
      <c r="I40" s="5" t="str">
        <f>INDEX(优化后功能框架!$F$5:$F$37,MATCH($G40,优化后功能框架!$A$5:$A$37,0))</f>
        <v>成员3</v>
      </c>
      <c r="J40" s="5" t="str">
        <f>INDEX(优化后功能框架!$G$5:$G$37,MATCH($G40,优化后功能框架!$A$5:$A$37,0))</f>
        <v>成员1</v>
      </c>
      <c r="K40" s="7" t="str">
        <f>INDEX(优化后功能框架!$H$5:$H$37,MATCH($G40,优化后功能框架!$A$5:$A$37,0))</f>
        <v>手写复杂页(含于报名页与审核台)</v>
      </c>
      <c r="L40" s="5" t="str">
        <f>INDEX(优化后功能框架!$I$5:$I$37,MATCH($G40,优化后功能框架!$A$5:$A$37,0))</f>
        <v>L1</v>
      </c>
      <c r="M40" s="5" t="str">
        <f>INDEX(优化后功能框架!$J$5:$J$37,MATCH($G40,优化后功能框架!$A$5:$A$37,0))</f>
        <v>P0</v>
      </c>
      <c r="N40" s="5" t="str">
        <f>INDEX(优化后功能框架!$M$5:$M$37,MATCH($G40,优化后功能框架!$A$5:$A$37,0))</f>
        <v>D7</v>
      </c>
      <c r="O40" s="7"/>
      <c r="P40" s="5"/>
    </row>
    <row r="41" spans="1:16" ht="25">
      <c r="A41" s="5">
        <v>37</v>
      </c>
      <c r="B41" s="8" t="s">
        <v>719</v>
      </c>
      <c r="C41" s="6" t="s">
        <v>648</v>
      </c>
      <c r="D41" s="6" t="s">
        <v>691</v>
      </c>
      <c r="E41" s="6" t="s">
        <v>714</v>
      </c>
      <c r="F41" s="6" t="s">
        <v>689</v>
      </c>
      <c r="G41" s="40" t="s">
        <v>336</v>
      </c>
      <c r="H41" s="7" t="str">
        <f>INDEX(优化后功能框架!$C$5:$C$37,MATCH($G41,优化后功能框架!$A$5:$A$37,0))</f>
        <v>报名材料与文档</v>
      </c>
      <c r="I41" s="5" t="str">
        <f>INDEX(优化后功能框架!$F$5:$F$37,MATCH($G41,优化后功能框架!$A$5:$A$37,0))</f>
        <v>成员3</v>
      </c>
      <c r="J41" s="5" t="str">
        <f>INDEX(优化后功能框架!$G$5:$G$37,MATCH($G41,优化后功能框架!$A$5:$A$37,0))</f>
        <v>成员1</v>
      </c>
      <c r="K41" s="7" t="str">
        <f>INDEX(优化后功能框架!$H$5:$H$37,MATCH($G41,优化后功能框架!$A$5:$A$37,0))</f>
        <v>手写复杂页(含于报名页与审核台)</v>
      </c>
      <c r="L41" s="5" t="str">
        <f>INDEX(优化后功能框架!$I$5:$I$37,MATCH($G41,优化后功能框架!$A$5:$A$37,0))</f>
        <v>L1</v>
      </c>
      <c r="M41" s="5" t="str">
        <f>INDEX(优化后功能框架!$J$5:$J$37,MATCH($G41,优化后功能框架!$A$5:$A$37,0))</f>
        <v>P0</v>
      </c>
      <c r="N41" s="5" t="str">
        <f>INDEX(优化后功能框架!$M$5:$M$37,MATCH($G41,优化后功能框架!$A$5:$A$37,0))</f>
        <v>D7</v>
      </c>
      <c r="O41" s="7"/>
      <c r="P41" s="5"/>
    </row>
    <row r="42" spans="1:16">
      <c r="A42" s="5">
        <v>38</v>
      </c>
      <c r="B42" s="8" t="s">
        <v>720</v>
      </c>
      <c r="C42" s="6" t="s">
        <v>648</v>
      </c>
      <c r="D42" s="6" t="s">
        <v>721</v>
      </c>
      <c r="E42" s="6" t="s">
        <v>722</v>
      </c>
      <c r="F42" s="6" t="s">
        <v>723</v>
      </c>
      <c r="G42" s="40" t="s">
        <v>567</v>
      </c>
      <c r="H42" s="7" t="str">
        <f>INDEX(优化后功能框架!$C$5:$C$37,MATCH($G42,优化后功能框架!$A$5:$A$37,0))</f>
        <v>多级审核</v>
      </c>
      <c r="I42" s="5" t="str">
        <f>INDEX(优化后功能框架!$F$5:$F$37,MATCH($G42,优化后功能框架!$A$5:$A$37,0))</f>
        <v>成员3</v>
      </c>
      <c r="J42" s="5" t="str">
        <f>INDEX(优化后功能框架!$G$5:$G$37,MATCH($G42,优化后功能框架!$A$5:$A$37,0))</f>
        <v>成员1</v>
      </c>
      <c r="K42" s="7" t="str">
        <f>INDEX(优化后功能框架!$H$5:$H$37,MATCH($G42,优化后功能框架!$A$5:$A$37,0))</f>
        <v>手写复杂页</v>
      </c>
      <c r="L42" s="5" t="str">
        <f>INDEX(优化后功能框架!$I$5:$I$37,MATCH($G42,优化后功能框架!$A$5:$A$37,0))</f>
        <v>L1</v>
      </c>
      <c r="M42" s="5" t="str">
        <f>INDEX(优化后功能框架!$J$5:$J$37,MATCH($G42,优化后功能框架!$A$5:$A$37,0))</f>
        <v>P0</v>
      </c>
      <c r="N42" s="5" t="str">
        <f>INDEX(优化后功能框架!$M$5:$M$37,MATCH($G42,优化后功能框架!$A$5:$A$37,0))</f>
        <v>D5</v>
      </c>
      <c r="O42" s="7"/>
      <c r="P42" s="5"/>
    </row>
    <row r="43" spans="1:16">
      <c r="A43" s="5">
        <v>39</v>
      </c>
      <c r="B43" s="8" t="s">
        <v>724</v>
      </c>
      <c r="C43" s="6" t="s">
        <v>648</v>
      </c>
      <c r="D43" s="6" t="s">
        <v>721</v>
      </c>
      <c r="E43" s="6" t="s">
        <v>722</v>
      </c>
      <c r="F43" s="6" t="s">
        <v>725</v>
      </c>
      <c r="G43" s="40" t="s">
        <v>567</v>
      </c>
      <c r="H43" s="7" t="str">
        <f>INDEX(优化后功能框架!$C$5:$C$37,MATCH($G43,优化后功能框架!$A$5:$A$37,0))</f>
        <v>多级审核</v>
      </c>
      <c r="I43" s="5" t="str">
        <f>INDEX(优化后功能框架!$F$5:$F$37,MATCH($G43,优化后功能框架!$A$5:$A$37,0))</f>
        <v>成员3</v>
      </c>
      <c r="J43" s="5" t="str">
        <f>INDEX(优化后功能框架!$G$5:$G$37,MATCH($G43,优化后功能框架!$A$5:$A$37,0))</f>
        <v>成员1</v>
      </c>
      <c r="K43" s="7" t="str">
        <f>INDEX(优化后功能框架!$H$5:$H$37,MATCH($G43,优化后功能框架!$A$5:$A$37,0))</f>
        <v>手写复杂页</v>
      </c>
      <c r="L43" s="5" t="str">
        <f>INDEX(优化后功能框架!$I$5:$I$37,MATCH($G43,优化后功能框架!$A$5:$A$37,0))</f>
        <v>L1</v>
      </c>
      <c r="M43" s="5" t="str">
        <f>INDEX(优化后功能框架!$J$5:$J$37,MATCH($G43,优化后功能框架!$A$5:$A$37,0))</f>
        <v>P0</v>
      </c>
      <c r="N43" s="5" t="str">
        <f>INDEX(优化后功能框架!$M$5:$M$37,MATCH($G43,优化后功能框架!$A$5:$A$37,0))</f>
        <v>D5</v>
      </c>
      <c r="O43" s="7"/>
      <c r="P43" s="5"/>
    </row>
    <row r="44" spans="1:16">
      <c r="A44" s="5">
        <v>40</v>
      </c>
      <c r="B44" s="8" t="s">
        <v>726</v>
      </c>
      <c r="C44" s="6" t="s">
        <v>648</v>
      </c>
      <c r="D44" s="6" t="s">
        <v>721</v>
      </c>
      <c r="E44" s="6" t="s">
        <v>722</v>
      </c>
      <c r="F44" s="6" t="s">
        <v>727</v>
      </c>
      <c r="G44" s="40" t="s">
        <v>567</v>
      </c>
      <c r="H44" s="7" t="str">
        <f>INDEX(优化后功能框架!$C$5:$C$37,MATCH($G44,优化后功能框架!$A$5:$A$37,0))</f>
        <v>多级审核</v>
      </c>
      <c r="I44" s="5" t="str">
        <f>INDEX(优化后功能框架!$F$5:$F$37,MATCH($G44,优化后功能框架!$A$5:$A$37,0))</f>
        <v>成员3</v>
      </c>
      <c r="J44" s="5" t="str">
        <f>INDEX(优化后功能框架!$G$5:$G$37,MATCH($G44,优化后功能框架!$A$5:$A$37,0))</f>
        <v>成员1</v>
      </c>
      <c r="K44" s="7" t="str">
        <f>INDEX(优化后功能框架!$H$5:$H$37,MATCH($G44,优化后功能框架!$A$5:$A$37,0))</f>
        <v>手写复杂页</v>
      </c>
      <c r="L44" s="5" t="str">
        <f>INDEX(优化后功能框架!$I$5:$I$37,MATCH($G44,优化后功能框架!$A$5:$A$37,0))</f>
        <v>L1</v>
      </c>
      <c r="M44" s="5" t="str">
        <f>INDEX(优化后功能框架!$J$5:$J$37,MATCH($G44,优化后功能框架!$A$5:$A$37,0))</f>
        <v>P0</v>
      </c>
      <c r="N44" s="5" t="str">
        <f>INDEX(优化后功能框架!$M$5:$M$37,MATCH($G44,优化后功能框架!$A$5:$A$37,0))</f>
        <v>D5</v>
      </c>
      <c r="O44" s="7"/>
      <c r="P44" s="5"/>
    </row>
    <row r="45" spans="1:16">
      <c r="A45" s="5">
        <v>41</v>
      </c>
      <c r="B45" s="8" t="s">
        <v>728</v>
      </c>
      <c r="C45" s="6" t="s">
        <v>648</v>
      </c>
      <c r="D45" s="6" t="s">
        <v>721</v>
      </c>
      <c r="E45" s="6" t="s">
        <v>722</v>
      </c>
      <c r="F45" s="6" t="s">
        <v>729</v>
      </c>
      <c r="G45" s="40" t="s">
        <v>567</v>
      </c>
      <c r="H45" s="7" t="str">
        <f>INDEX(优化后功能框架!$C$5:$C$37,MATCH($G45,优化后功能框架!$A$5:$A$37,0))</f>
        <v>多级审核</v>
      </c>
      <c r="I45" s="5" t="str">
        <f>INDEX(优化后功能框架!$F$5:$F$37,MATCH($G45,优化后功能框架!$A$5:$A$37,0))</f>
        <v>成员3</v>
      </c>
      <c r="J45" s="5" t="str">
        <f>INDEX(优化后功能框架!$G$5:$G$37,MATCH($G45,优化后功能框架!$A$5:$A$37,0))</f>
        <v>成员1</v>
      </c>
      <c r="K45" s="7" t="str">
        <f>INDEX(优化后功能框架!$H$5:$H$37,MATCH($G45,优化后功能框架!$A$5:$A$37,0))</f>
        <v>手写复杂页</v>
      </c>
      <c r="L45" s="5" t="str">
        <f>INDEX(优化后功能框架!$I$5:$I$37,MATCH($G45,优化后功能框架!$A$5:$A$37,0))</f>
        <v>L1</v>
      </c>
      <c r="M45" s="5" t="str">
        <f>INDEX(优化后功能框架!$J$5:$J$37,MATCH($G45,优化后功能框架!$A$5:$A$37,0))</f>
        <v>P0</v>
      </c>
      <c r="N45" s="5" t="str">
        <f>INDEX(优化后功能框架!$M$5:$M$37,MATCH($G45,优化后功能框架!$A$5:$A$37,0))</f>
        <v>D5</v>
      </c>
      <c r="O45" s="7"/>
      <c r="P45" s="5"/>
    </row>
    <row r="46" spans="1:16">
      <c r="A46" s="5">
        <v>42</v>
      </c>
      <c r="B46" s="8" t="s">
        <v>730</v>
      </c>
      <c r="C46" s="6" t="s">
        <v>648</v>
      </c>
      <c r="D46" s="6" t="s">
        <v>721</v>
      </c>
      <c r="E46" s="6" t="s">
        <v>731</v>
      </c>
      <c r="F46" s="6" t="s">
        <v>732</v>
      </c>
      <c r="G46" s="40" t="s">
        <v>316</v>
      </c>
      <c r="H46" s="7" t="str">
        <f>INDEX(优化后功能框架!$C$5:$C$37,MATCH($G46,优化后功能框架!$A$5:$A$37,0))</f>
        <v>统一报名引擎</v>
      </c>
      <c r="I46" s="5" t="str">
        <f>INDEX(优化后功能框架!$F$5:$F$37,MATCH($G46,优化后功能框架!$A$5:$A$37,0))</f>
        <v>成员3</v>
      </c>
      <c r="J46" s="5" t="str">
        <f>INDEX(优化后功能框架!$G$5:$G$37,MATCH($G46,优化后功能框架!$A$5:$A$37,0))</f>
        <v>成员1</v>
      </c>
      <c r="K46" s="7" t="str">
        <f>INDEX(优化后功能框架!$H$5:$H$37,MATCH($G46,优化后功能框架!$A$5:$A$37,0))</f>
        <v>手写复杂页</v>
      </c>
      <c r="L46" s="5" t="str">
        <f>INDEX(优化后功能框架!$I$5:$I$37,MATCH($G46,优化后功能框架!$A$5:$A$37,0))</f>
        <v>L1</v>
      </c>
      <c r="M46" s="5" t="str">
        <f>INDEX(优化后功能框架!$J$5:$J$37,MATCH($G46,优化后功能框架!$A$5:$A$37,0))</f>
        <v>P0</v>
      </c>
      <c r="N46" s="5" t="str">
        <f>INDEX(优化后功能框架!$M$5:$M$37,MATCH($G46,优化后功能框架!$A$5:$A$37,0))</f>
        <v>D6</v>
      </c>
      <c r="O46" s="7"/>
      <c r="P46" s="5"/>
    </row>
    <row r="47" spans="1:16">
      <c r="A47" s="5">
        <v>43</v>
      </c>
      <c r="B47" s="8" t="s">
        <v>733</v>
      </c>
      <c r="C47" s="6" t="s">
        <v>648</v>
      </c>
      <c r="D47" s="6" t="s">
        <v>721</v>
      </c>
      <c r="E47" s="6" t="s">
        <v>731</v>
      </c>
      <c r="F47" s="6" t="s">
        <v>658</v>
      </c>
      <c r="G47" s="40" t="s">
        <v>316</v>
      </c>
      <c r="H47" s="7" t="str">
        <f>INDEX(优化后功能框架!$C$5:$C$37,MATCH($G47,优化后功能框架!$A$5:$A$37,0))</f>
        <v>统一报名引擎</v>
      </c>
      <c r="I47" s="5" t="str">
        <f>INDEX(优化后功能框架!$F$5:$F$37,MATCH($G47,优化后功能框架!$A$5:$A$37,0))</f>
        <v>成员3</v>
      </c>
      <c r="J47" s="5" t="str">
        <f>INDEX(优化后功能框架!$G$5:$G$37,MATCH($G47,优化后功能框架!$A$5:$A$37,0))</f>
        <v>成员1</v>
      </c>
      <c r="K47" s="7" t="str">
        <f>INDEX(优化后功能框架!$H$5:$H$37,MATCH($G47,优化后功能框架!$A$5:$A$37,0))</f>
        <v>手写复杂页</v>
      </c>
      <c r="L47" s="5" t="str">
        <f>INDEX(优化后功能框架!$I$5:$I$37,MATCH($G47,优化后功能框架!$A$5:$A$37,0))</f>
        <v>L1</v>
      </c>
      <c r="M47" s="5" t="str">
        <f>INDEX(优化后功能框架!$J$5:$J$37,MATCH($G47,优化后功能框架!$A$5:$A$37,0))</f>
        <v>P0</v>
      </c>
      <c r="N47" s="5" t="str">
        <f>INDEX(优化后功能框架!$M$5:$M$37,MATCH($G47,优化后功能框架!$A$5:$A$37,0))</f>
        <v>D6</v>
      </c>
      <c r="O47" s="7"/>
      <c r="P47" s="5"/>
    </row>
    <row r="48" spans="1:16">
      <c r="A48" s="5">
        <v>44</v>
      </c>
      <c r="B48" s="8" t="s">
        <v>734</v>
      </c>
      <c r="C48" s="6" t="s">
        <v>648</v>
      </c>
      <c r="D48" s="6" t="s">
        <v>721</v>
      </c>
      <c r="E48" s="6" t="s">
        <v>731</v>
      </c>
      <c r="F48" s="6" t="s">
        <v>664</v>
      </c>
      <c r="G48" s="40" t="s">
        <v>316</v>
      </c>
      <c r="H48" s="7" t="str">
        <f>INDEX(优化后功能框架!$C$5:$C$37,MATCH($G48,优化后功能框架!$A$5:$A$37,0))</f>
        <v>统一报名引擎</v>
      </c>
      <c r="I48" s="5" t="str">
        <f>INDEX(优化后功能框架!$F$5:$F$37,MATCH($G48,优化后功能框架!$A$5:$A$37,0))</f>
        <v>成员3</v>
      </c>
      <c r="J48" s="5" t="str">
        <f>INDEX(优化后功能框架!$G$5:$G$37,MATCH($G48,优化后功能框架!$A$5:$A$37,0))</f>
        <v>成员1</v>
      </c>
      <c r="K48" s="7" t="str">
        <f>INDEX(优化后功能框架!$H$5:$H$37,MATCH($G48,优化后功能框架!$A$5:$A$37,0))</f>
        <v>手写复杂页</v>
      </c>
      <c r="L48" s="5" t="str">
        <f>INDEX(优化后功能框架!$I$5:$I$37,MATCH($G48,优化后功能框架!$A$5:$A$37,0))</f>
        <v>L1</v>
      </c>
      <c r="M48" s="5" t="str">
        <f>INDEX(优化后功能框架!$J$5:$J$37,MATCH($G48,优化后功能框架!$A$5:$A$37,0))</f>
        <v>P0</v>
      </c>
      <c r="N48" s="5" t="str">
        <f>INDEX(优化后功能框架!$M$5:$M$37,MATCH($G48,优化后功能框架!$A$5:$A$37,0))</f>
        <v>D6</v>
      </c>
      <c r="O48" s="7"/>
      <c r="P48" s="5"/>
    </row>
    <row r="49" spans="1:16">
      <c r="A49" s="5">
        <v>45</v>
      </c>
      <c r="B49" s="8" t="s">
        <v>735</v>
      </c>
      <c r="C49" s="6" t="s">
        <v>648</v>
      </c>
      <c r="D49" s="6" t="s">
        <v>721</v>
      </c>
      <c r="E49" s="6" t="s">
        <v>731</v>
      </c>
      <c r="F49" s="6" t="s">
        <v>668</v>
      </c>
      <c r="G49" s="40" t="s">
        <v>316</v>
      </c>
      <c r="H49" s="7" t="str">
        <f>INDEX(优化后功能框架!$C$5:$C$37,MATCH($G49,优化后功能框架!$A$5:$A$37,0))</f>
        <v>统一报名引擎</v>
      </c>
      <c r="I49" s="5" t="str">
        <f>INDEX(优化后功能框架!$F$5:$F$37,MATCH($G49,优化后功能框架!$A$5:$A$37,0))</f>
        <v>成员3</v>
      </c>
      <c r="J49" s="5" t="str">
        <f>INDEX(优化后功能框架!$G$5:$G$37,MATCH($G49,优化后功能框架!$A$5:$A$37,0))</f>
        <v>成员1</v>
      </c>
      <c r="K49" s="7" t="str">
        <f>INDEX(优化后功能框架!$H$5:$H$37,MATCH($G49,优化后功能框架!$A$5:$A$37,0))</f>
        <v>手写复杂页</v>
      </c>
      <c r="L49" s="5" t="str">
        <f>INDEX(优化后功能框架!$I$5:$I$37,MATCH($G49,优化后功能框架!$A$5:$A$37,0))</f>
        <v>L1</v>
      </c>
      <c r="M49" s="5" t="str">
        <f>INDEX(优化后功能框架!$J$5:$J$37,MATCH($G49,优化后功能框架!$A$5:$A$37,0))</f>
        <v>P0</v>
      </c>
      <c r="N49" s="5" t="str">
        <f>INDEX(优化后功能框架!$M$5:$M$37,MATCH($G49,优化后功能框架!$A$5:$A$37,0))</f>
        <v>D6</v>
      </c>
      <c r="O49" s="7"/>
      <c r="P49" s="5"/>
    </row>
    <row r="50" spans="1:16">
      <c r="A50" s="5">
        <v>46</v>
      </c>
      <c r="B50" s="8" t="s">
        <v>736</v>
      </c>
      <c r="C50" s="6" t="s">
        <v>648</v>
      </c>
      <c r="D50" s="6" t="s">
        <v>721</v>
      </c>
      <c r="E50" s="6" t="s">
        <v>731</v>
      </c>
      <c r="F50" s="6" t="s">
        <v>737</v>
      </c>
      <c r="G50" s="40" t="s">
        <v>316</v>
      </c>
      <c r="H50" s="7" t="str">
        <f>INDEX(优化后功能框架!$C$5:$C$37,MATCH($G50,优化后功能框架!$A$5:$A$37,0))</f>
        <v>统一报名引擎</v>
      </c>
      <c r="I50" s="5" t="str">
        <f>INDEX(优化后功能框架!$F$5:$F$37,MATCH($G50,优化后功能框架!$A$5:$A$37,0))</f>
        <v>成员3</v>
      </c>
      <c r="J50" s="5" t="str">
        <f>INDEX(优化后功能框架!$G$5:$G$37,MATCH($G50,优化后功能框架!$A$5:$A$37,0))</f>
        <v>成员1</v>
      </c>
      <c r="K50" s="7" t="str">
        <f>INDEX(优化后功能框架!$H$5:$H$37,MATCH($G50,优化后功能框架!$A$5:$A$37,0))</f>
        <v>手写复杂页</v>
      </c>
      <c r="L50" s="5" t="str">
        <f>INDEX(优化后功能框架!$I$5:$I$37,MATCH($G50,优化后功能框架!$A$5:$A$37,0))</f>
        <v>L1</v>
      </c>
      <c r="M50" s="5" t="str">
        <f>INDEX(优化后功能框架!$J$5:$J$37,MATCH($G50,优化后功能框架!$A$5:$A$37,0))</f>
        <v>P0</v>
      </c>
      <c r="N50" s="5" t="str">
        <f>INDEX(优化后功能框架!$M$5:$M$37,MATCH($G50,优化后功能框架!$A$5:$A$37,0))</f>
        <v>D6</v>
      </c>
      <c r="O50" s="7"/>
      <c r="P50" s="5"/>
    </row>
    <row r="51" spans="1:16">
      <c r="A51" s="5">
        <v>47</v>
      </c>
      <c r="B51" s="8" t="s">
        <v>738</v>
      </c>
      <c r="C51" s="6" t="s">
        <v>648</v>
      </c>
      <c r="D51" s="6" t="s">
        <v>721</v>
      </c>
      <c r="E51" s="6" t="s">
        <v>731</v>
      </c>
      <c r="F51" s="6" t="s">
        <v>672</v>
      </c>
      <c r="G51" s="40" t="s">
        <v>316</v>
      </c>
      <c r="H51" s="7" t="str">
        <f>INDEX(优化后功能框架!$C$5:$C$37,MATCH($G51,优化后功能框架!$A$5:$A$37,0))</f>
        <v>统一报名引擎</v>
      </c>
      <c r="I51" s="5" t="str">
        <f>INDEX(优化后功能框架!$F$5:$F$37,MATCH($G51,优化后功能框架!$A$5:$A$37,0))</f>
        <v>成员3</v>
      </c>
      <c r="J51" s="5" t="str">
        <f>INDEX(优化后功能框架!$G$5:$G$37,MATCH($G51,优化后功能框架!$A$5:$A$37,0))</f>
        <v>成员1</v>
      </c>
      <c r="K51" s="7" t="str">
        <f>INDEX(优化后功能框架!$H$5:$H$37,MATCH($G51,优化后功能框架!$A$5:$A$37,0))</f>
        <v>手写复杂页</v>
      </c>
      <c r="L51" s="5" t="str">
        <f>INDEX(优化后功能框架!$I$5:$I$37,MATCH($G51,优化后功能框架!$A$5:$A$37,0))</f>
        <v>L1</v>
      </c>
      <c r="M51" s="5" t="str">
        <f>INDEX(优化后功能框架!$J$5:$J$37,MATCH($G51,优化后功能框架!$A$5:$A$37,0))</f>
        <v>P0</v>
      </c>
      <c r="N51" s="5" t="str">
        <f>INDEX(优化后功能框架!$M$5:$M$37,MATCH($G51,优化后功能框架!$A$5:$A$37,0))</f>
        <v>D6</v>
      </c>
      <c r="O51" s="7"/>
      <c r="P51" s="5"/>
    </row>
    <row r="52" spans="1:16">
      <c r="A52" s="5">
        <v>48</v>
      </c>
      <c r="B52" s="8" t="s">
        <v>739</v>
      </c>
      <c r="C52" s="6" t="s">
        <v>648</v>
      </c>
      <c r="D52" s="6" t="s">
        <v>721</v>
      </c>
      <c r="E52" s="6" t="s">
        <v>731</v>
      </c>
      <c r="F52" s="6" t="s">
        <v>674</v>
      </c>
      <c r="G52" s="40" t="s">
        <v>316</v>
      </c>
      <c r="H52" s="7" t="str">
        <f>INDEX(优化后功能框架!$C$5:$C$37,MATCH($G52,优化后功能框架!$A$5:$A$37,0))</f>
        <v>统一报名引擎</v>
      </c>
      <c r="I52" s="5" t="str">
        <f>INDEX(优化后功能框架!$F$5:$F$37,MATCH($G52,优化后功能框架!$A$5:$A$37,0))</f>
        <v>成员3</v>
      </c>
      <c r="J52" s="5" t="str">
        <f>INDEX(优化后功能框架!$G$5:$G$37,MATCH($G52,优化后功能框架!$A$5:$A$37,0))</f>
        <v>成员1</v>
      </c>
      <c r="K52" s="7" t="str">
        <f>INDEX(优化后功能框架!$H$5:$H$37,MATCH($G52,优化后功能框架!$A$5:$A$37,0))</f>
        <v>手写复杂页</v>
      </c>
      <c r="L52" s="5" t="str">
        <f>INDEX(优化后功能框架!$I$5:$I$37,MATCH($G52,优化后功能框架!$A$5:$A$37,0))</f>
        <v>L1</v>
      </c>
      <c r="M52" s="5" t="str">
        <f>INDEX(优化后功能框架!$J$5:$J$37,MATCH($G52,优化后功能框架!$A$5:$A$37,0))</f>
        <v>P0</v>
      </c>
      <c r="N52" s="5" t="str">
        <f>INDEX(优化后功能框架!$M$5:$M$37,MATCH($G52,优化后功能框架!$A$5:$A$37,0))</f>
        <v>D6</v>
      </c>
      <c r="O52" s="7"/>
      <c r="P52" s="5"/>
    </row>
    <row r="53" spans="1:16">
      <c r="A53" s="5">
        <v>49</v>
      </c>
      <c r="B53" s="8" t="s">
        <v>740</v>
      </c>
      <c r="C53" s="6" t="s">
        <v>648</v>
      </c>
      <c r="D53" s="6" t="s">
        <v>721</v>
      </c>
      <c r="E53" s="6" t="s">
        <v>731</v>
      </c>
      <c r="F53" s="6" t="s">
        <v>676</v>
      </c>
      <c r="G53" s="40" t="s">
        <v>316</v>
      </c>
      <c r="H53" s="7" t="str">
        <f>INDEX(优化后功能框架!$C$5:$C$37,MATCH($G53,优化后功能框架!$A$5:$A$37,0))</f>
        <v>统一报名引擎</v>
      </c>
      <c r="I53" s="5" t="str">
        <f>INDEX(优化后功能框架!$F$5:$F$37,MATCH($G53,优化后功能框架!$A$5:$A$37,0))</f>
        <v>成员3</v>
      </c>
      <c r="J53" s="5" t="str">
        <f>INDEX(优化后功能框架!$G$5:$G$37,MATCH($G53,优化后功能框架!$A$5:$A$37,0))</f>
        <v>成员1</v>
      </c>
      <c r="K53" s="7" t="str">
        <f>INDEX(优化后功能框架!$H$5:$H$37,MATCH($G53,优化后功能框架!$A$5:$A$37,0))</f>
        <v>手写复杂页</v>
      </c>
      <c r="L53" s="5" t="str">
        <f>INDEX(优化后功能框架!$I$5:$I$37,MATCH($G53,优化后功能框架!$A$5:$A$37,0))</f>
        <v>L1</v>
      </c>
      <c r="M53" s="5" t="str">
        <f>INDEX(优化后功能框架!$J$5:$J$37,MATCH($G53,优化后功能框架!$A$5:$A$37,0))</f>
        <v>P0</v>
      </c>
      <c r="N53" s="5" t="str">
        <f>INDEX(优化后功能框架!$M$5:$M$37,MATCH($G53,优化后功能框架!$A$5:$A$37,0))</f>
        <v>D6</v>
      </c>
      <c r="O53" s="7"/>
      <c r="P53" s="5"/>
    </row>
    <row r="54" spans="1:16">
      <c r="A54" s="5">
        <v>50</v>
      </c>
      <c r="B54" s="8" t="s">
        <v>741</v>
      </c>
      <c r="C54" s="6" t="s">
        <v>648</v>
      </c>
      <c r="D54" s="6" t="s">
        <v>721</v>
      </c>
      <c r="E54" s="6" t="s">
        <v>731</v>
      </c>
      <c r="F54" s="6" t="s">
        <v>742</v>
      </c>
      <c r="G54" s="40" t="s">
        <v>316</v>
      </c>
      <c r="H54" s="7" t="str">
        <f>INDEX(优化后功能框架!$C$5:$C$37,MATCH($G54,优化后功能框架!$A$5:$A$37,0))</f>
        <v>统一报名引擎</v>
      </c>
      <c r="I54" s="5" t="str">
        <f>INDEX(优化后功能框架!$F$5:$F$37,MATCH($G54,优化后功能框架!$A$5:$A$37,0))</f>
        <v>成员3</v>
      </c>
      <c r="J54" s="5" t="str">
        <f>INDEX(优化后功能框架!$G$5:$G$37,MATCH($G54,优化后功能框架!$A$5:$A$37,0))</f>
        <v>成员1</v>
      </c>
      <c r="K54" s="7" t="str">
        <f>INDEX(优化后功能框架!$H$5:$H$37,MATCH($G54,优化后功能框架!$A$5:$A$37,0))</f>
        <v>手写复杂页</v>
      </c>
      <c r="L54" s="5" t="str">
        <f>INDEX(优化后功能框架!$I$5:$I$37,MATCH($G54,优化后功能框架!$A$5:$A$37,0))</f>
        <v>L1</v>
      </c>
      <c r="M54" s="5" t="str">
        <f>INDEX(优化后功能框架!$J$5:$J$37,MATCH($G54,优化后功能框架!$A$5:$A$37,0))</f>
        <v>P0</v>
      </c>
      <c r="N54" s="5" t="str">
        <f>INDEX(优化后功能框架!$M$5:$M$37,MATCH($G54,优化后功能框架!$A$5:$A$37,0))</f>
        <v>D6</v>
      </c>
      <c r="O54" s="7"/>
      <c r="P54" s="5"/>
    </row>
    <row r="55" spans="1:16">
      <c r="A55" s="5">
        <v>51</v>
      </c>
      <c r="B55" s="8" t="s">
        <v>743</v>
      </c>
      <c r="C55" s="6" t="s">
        <v>648</v>
      </c>
      <c r="D55" s="6" t="s">
        <v>721</v>
      </c>
      <c r="E55" s="6" t="s">
        <v>731</v>
      </c>
      <c r="F55" s="6" t="s">
        <v>744</v>
      </c>
      <c r="G55" s="40" t="s">
        <v>316</v>
      </c>
      <c r="H55" s="7" t="str">
        <f>INDEX(优化后功能框架!$C$5:$C$37,MATCH($G55,优化后功能框架!$A$5:$A$37,0))</f>
        <v>统一报名引擎</v>
      </c>
      <c r="I55" s="5" t="str">
        <f>INDEX(优化后功能框架!$F$5:$F$37,MATCH($G55,优化后功能框架!$A$5:$A$37,0))</f>
        <v>成员3</v>
      </c>
      <c r="J55" s="5" t="str">
        <f>INDEX(优化后功能框架!$G$5:$G$37,MATCH($G55,优化后功能框架!$A$5:$A$37,0))</f>
        <v>成员1</v>
      </c>
      <c r="K55" s="7" t="str">
        <f>INDEX(优化后功能框架!$H$5:$H$37,MATCH($G55,优化后功能框架!$A$5:$A$37,0))</f>
        <v>手写复杂页</v>
      </c>
      <c r="L55" s="5" t="str">
        <f>INDEX(优化后功能框架!$I$5:$I$37,MATCH($G55,优化后功能框架!$A$5:$A$37,0))</f>
        <v>L1</v>
      </c>
      <c r="M55" s="5" t="str">
        <f>INDEX(优化后功能框架!$J$5:$J$37,MATCH($G55,优化后功能框架!$A$5:$A$37,0))</f>
        <v>P0</v>
      </c>
      <c r="N55" s="5" t="str">
        <f>INDEX(优化后功能框架!$M$5:$M$37,MATCH($G55,优化后功能框架!$A$5:$A$37,0))</f>
        <v>D6</v>
      </c>
      <c r="O55" s="7"/>
      <c r="P55" s="5"/>
    </row>
    <row r="56" spans="1:16">
      <c r="A56" s="5">
        <v>52</v>
      </c>
      <c r="B56" s="8" t="s">
        <v>745</v>
      </c>
      <c r="C56" s="6" t="s">
        <v>648</v>
      </c>
      <c r="D56" s="6" t="s">
        <v>721</v>
      </c>
      <c r="E56" s="6" t="s">
        <v>746</v>
      </c>
      <c r="F56" s="6" t="s">
        <v>666</v>
      </c>
      <c r="G56" s="40" t="s">
        <v>316</v>
      </c>
      <c r="H56" s="7" t="str">
        <f>INDEX(优化后功能框架!$C$5:$C$37,MATCH($G56,优化后功能框架!$A$5:$A$37,0))</f>
        <v>统一报名引擎</v>
      </c>
      <c r="I56" s="5" t="str">
        <f>INDEX(优化后功能框架!$F$5:$F$37,MATCH($G56,优化后功能框架!$A$5:$A$37,0))</f>
        <v>成员3</v>
      </c>
      <c r="J56" s="5" t="str">
        <f>INDEX(优化后功能框架!$G$5:$G$37,MATCH($G56,优化后功能框架!$A$5:$A$37,0))</f>
        <v>成员1</v>
      </c>
      <c r="K56" s="7" t="str">
        <f>INDEX(优化后功能框架!$H$5:$H$37,MATCH($G56,优化后功能框架!$A$5:$A$37,0))</f>
        <v>手写复杂页</v>
      </c>
      <c r="L56" s="5" t="str">
        <f>INDEX(优化后功能框架!$I$5:$I$37,MATCH($G56,优化后功能框架!$A$5:$A$37,0))</f>
        <v>L1</v>
      </c>
      <c r="M56" s="5" t="str">
        <f>INDEX(优化后功能框架!$J$5:$J$37,MATCH($G56,优化后功能框架!$A$5:$A$37,0))</f>
        <v>P0</v>
      </c>
      <c r="N56" s="5" t="str">
        <f>INDEX(优化后功能框架!$M$5:$M$37,MATCH($G56,优化后功能框架!$A$5:$A$37,0))</f>
        <v>D6</v>
      </c>
      <c r="O56" s="7"/>
      <c r="P56" s="5"/>
    </row>
    <row r="57" spans="1:16">
      <c r="A57" s="5">
        <v>53</v>
      </c>
      <c r="B57" s="8" t="s">
        <v>747</v>
      </c>
      <c r="C57" s="6" t="s">
        <v>648</v>
      </c>
      <c r="D57" s="6" t="s">
        <v>721</v>
      </c>
      <c r="E57" s="6" t="s">
        <v>746</v>
      </c>
      <c r="F57" s="6" t="s">
        <v>670</v>
      </c>
      <c r="G57" s="40" t="s">
        <v>316</v>
      </c>
      <c r="H57" s="7" t="str">
        <f>INDEX(优化后功能框架!$C$5:$C$37,MATCH($G57,优化后功能框架!$A$5:$A$37,0))</f>
        <v>统一报名引擎</v>
      </c>
      <c r="I57" s="5" t="str">
        <f>INDEX(优化后功能框架!$F$5:$F$37,MATCH($G57,优化后功能框架!$A$5:$A$37,0))</f>
        <v>成员3</v>
      </c>
      <c r="J57" s="5" t="str">
        <f>INDEX(优化后功能框架!$G$5:$G$37,MATCH($G57,优化后功能框架!$A$5:$A$37,0))</f>
        <v>成员1</v>
      </c>
      <c r="K57" s="7" t="str">
        <f>INDEX(优化后功能框架!$H$5:$H$37,MATCH($G57,优化后功能框架!$A$5:$A$37,0))</f>
        <v>手写复杂页</v>
      </c>
      <c r="L57" s="5" t="str">
        <f>INDEX(优化后功能框架!$I$5:$I$37,MATCH($G57,优化后功能框架!$A$5:$A$37,0))</f>
        <v>L1</v>
      </c>
      <c r="M57" s="5" t="str">
        <f>INDEX(优化后功能框架!$J$5:$J$37,MATCH($G57,优化后功能框架!$A$5:$A$37,0))</f>
        <v>P0</v>
      </c>
      <c r="N57" s="5" t="str">
        <f>INDEX(优化后功能框架!$M$5:$M$37,MATCH($G57,优化后功能框架!$A$5:$A$37,0))</f>
        <v>D6</v>
      </c>
      <c r="O57" s="7"/>
      <c r="P57" s="5"/>
    </row>
    <row r="58" spans="1:16">
      <c r="A58" s="5">
        <v>54</v>
      </c>
      <c r="B58" s="8" t="s">
        <v>748</v>
      </c>
      <c r="C58" s="6" t="s">
        <v>648</v>
      </c>
      <c r="D58" s="6" t="s">
        <v>721</v>
      </c>
      <c r="E58" s="6" t="s">
        <v>746</v>
      </c>
      <c r="F58" s="6" t="s">
        <v>749</v>
      </c>
      <c r="G58" s="40" t="s">
        <v>341</v>
      </c>
      <c r="H58" s="7" t="str">
        <f>INDEX(优化后功能框架!$C$5:$C$37,MATCH($G58,优化后功能框架!$A$5:$A$37,0))</f>
        <v>报名统计与导出</v>
      </c>
      <c r="I58" s="5" t="str">
        <f>INDEX(优化后功能框架!$F$5:$F$37,MATCH($G58,优化后功能框架!$A$5:$A$37,0))</f>
        <v>成员3</v>
      </c>
      <c r="J58" s="5" t="str">
        <f>INDEX(优化后功能框架!$G$5:$G$37,MATCH($G58,优化后功能框架!$A$5:$A$37,0))</f>
        <v>成员3</v>
      </c>
      <c r="K58" s="7" t="str">
        <f>INDEX(优化后功能框架!$H$5:$H$37,MATCH($G58,优化后功能框架!$A$5:$A$37,0))</f>
        <v>生成器标准页</v>
      </c>
      <c r="L58" s="5" t="str">
        <f>INDEX(优化后功能框架!$I$5:$I$37,MATCH($G58,优化后功能框架!$A$5:$A$37,0))</f>
        <v>L2</v>
      </c>
      <c r="M58" s="5" t="str">
        <f>INDEX(优化后功能框架!$J$5:$J$37,MATCH($G58,优化后功能框架!$A$5:$A$37,0))</f>
        <v>P1</v>
      </c>
      <c r="N58" s="5" t="str">
        <f>INDEX(优化后功能框架!$M$5:$M$37,MATCH($G58,优化后功能框架!$A$5:$A$37,0))</f>
        <v>D8</v>
      </c>
      <c r="O58" s="7"/>
      <c r="P58" s="5"/>
    </row>
    <row r="59" spans="1:16" ht="25">
      <c r="A59" s="5">
        <v>55</v>
      </c>
      <c r="B59" s="8" t="s">
        <v>750</v>
      </c>
      <c r="C59" s="6" t="s">
        <v>648</v>
      </c>
      <c r="D59" s="6" t="s">
        <v>721</v>
      </c>
      <c r="E59" s="6" t="s">
        <v>746</v>
      </c>
      <c r="F59" s="6" t="s">
        <v>751</v>
      </c>
      <c r="G59" s="40" t="s">
        <v>336</v>
      </c>
      <c r="H59" s="7" t="str">
        <f>INDEX(优化后功能框架!$C$5:$C$37,MATCH($G59,优化后功能框架!$A$5:$A$37,0))</f>
        <v>报名材料与文档</v>
      </c>
      <c r="I59" s="5" t="str">
        <f>INDEX(优化后功能框架!$F$5:$F$37,MATCH($G59,优化后功能框架!$A$5:$A$37,0))</f>
        <v>成员3</v>
      </c>
      <c r="J59" s="5" t="str">
        <f>INDEX(优化后功能框架!$G$5:$G$37,MATCH($G59,优化后功能框架!$A$5:$A$37,0))</f>
        <v>成员1</v>
      </c>
      <c r="K59" s="7" t="str">
        <f>INDEX(优化后功能框架!$H$5:$H$37,MATCH($G59,优化后功能框架!$A$5:$A$37,0))</f>
        <v>手写复杂页(含于报名页与审核台)</v>
      </c>
      <c r="L59" s="5" t="str">
        <f>INDEX(优化后功能框架!$I$5:$I$37,MATCH($G59,优化后功能框架!$A$5:$A$37,0))</f>
        <v>L1</v>
      </c>
      <c r="M59" s="5" t="str">
        <f>INDEX(优化后功能框架!$J$5:$J$37,MATCH($G59,优化后功能框架!$A$5:$A$37,0))</f>
        <v>P0</v>
      </c>
      <c r="N59" s="5" t="str">
        <f>INDEX(优化后功能框架!$M$5:$M$37,MATCH($G59,优化后功能框架!$A$5:$A$37,0))</f>
        <v>D7</v>
      </c>
      <c r="O59" s="7"/>
      <c r="P59" s="5"/>
    </row>
    <row r="60" spans="1:16" ht="25">
      <c r="A60" s="5">
        <v>56</v>
      </c>
      <c r="B60" s="8" t="s">
        <v>752</v>
      </c>
      <c r="C60" s="6" t="s">
        <v>648</v>
      </c>
      <c r="D60" s="6" t="s">
        <v>721</v>
      </c>
      <c r="E60" s="6" t="s">
        <v>746</v>
      </c>
      <c r="F60" s="6" t="s">
        <v>753</v>
      </c>
      <c r="G60" s="40" t="s">
        <v>336</v>
      </c>
      <c r="H60" s="7" t="str">
        <f>INDEX(优化后功能框架!$C$5:$C$37,MATCH($G60,优化后功能框架!$A$5:$A$37,0))</f>
        <v>报名材料与文档</v>
      </c>
      <c r="I60" s="5" t="str">
        <f>INDEX(优化后功能框架!$F$5:$F$37,MATCH($G60,优化后功能框架!$A$5:$A$37,0))</f>
        <v>成员3</v>
      </c>
      <c r="J60" s="5" t="str">
        <f>INDEX(优化后功能框架!$G$5:$G$37,MATCH($G60,优化后功能框架!$A$5:$A$37,0))</f>
        <v>成员1</v>
      </c>
      <c r="K60" s="7" t="str">
        <f>INDEX(优化后功能框架!$H$5:$H$37,MATCH($G60,优化后功能框架!$A$5:$A$37,0))</f>
        <v>手写复杂页(含于报名页与审核台)</v>
      </c>
      <c r="L60" s="5" t="str">
        <f>INDEX(优化后功能框架!$I$5:$I$37,MATCH($G60,优化后功能框架!$A$5:$A$37,0))</f>
        <v>L1</v>
      </c>
      <c r="M60" s="5" t="str">
        <f>INDEX(优化后功能框架!$J$5:$J$37,MATCH($G60,优化后功能框架!$A$5:$A$37,0))</f>
        <v>P0</v>
      </c>
      <c r="N60" s="5" t="str">
        <f>INDEX(优化后功能框架!$M$5:$M$37,MATCH($G60,优化后功能框架!$A$5:$A$37,0))</f>
        <v>D7</v>
      </c>
      <c r="O60" s="7"/>
      <c r="P60" s="5"/>
    </row>
    <row r="61" spans="1:16" ht="25">
      <c r="A61" s="5">
        <v>57</v>
      </c>
      <c r="B61" s="8" t="s">
        <v>754</v>
      </c>
      <c r="C61" s="6" t="s">
        <v>648</v>
      </c>
      <c r="D61" s="6" t="s">
        <v>721</v>
      </c>
      <c r="E61" s="6" t="s">
        <v>746</v>
      </c>
      <c r="F61" s="6" t="s">
        <v>687</v>
      </c>
      <c r="G61" s="40" t="s">
        <v>336</v>
      </c>
      <c r="H61" s="7" t="str">
        <f>INDEX(优化后功能框架!$C$5:$C$37,MATCH($G61,优化后功能框架!$A$5:$A$37,0))</f>
        <v>报名材料与文档</v>
      </c>
      <c r="I61" s="5" t="str">
        <f>INDEX(优化后功能框架!$F$5:$F$37,MATCH($G61,优化后功能框架!$A$5:$A$37,0))</f>
        <v>成员3</v>
      </c>
      <c r="J61" s="5" t="str">
        <f>INDEX(优化后功能框架!$G$5:$G$37,MATCH($G61,优化后功能框架!$A$5:$A$37,0))</f>
        <v>成员1</v>
      </c>
      <c r="K61" s="7" t="str">
        <f>INDEX(优化后功能框架!$H$5:$H$37,MATCH($G61,优化后功能框架!$A$5:$A$37,0))</f>
        <v>手写复杂页(含于报名页与审核台)</v>
      </c>
      <c r="L61" s="5" t="str">
        <f>INDEX(优化后功能框架!$I$5:$I$37,MATCH($G61,优化后功能框架!$A$5:$A$37,0))</f>
        <v>L1</v>
      </c>
      <c r="M61" s="5" t="str">
        <f>INDEX(优化后功能框架!$J$5:$J$37,MATCH($G61,优化后功能框架!$A$5:$A$37,0))</f>
        <v>P0</v>
      </c>
      <c r="N61" s="5" t="str">
        <f>INDEX(优化后功能框架!$M$5:$M$37,MATCH($G61,优化后功能框架!$A$5:$A$37,0))</f>
        <v>D7</v>
      </c>
      <c r="O61" s="7"/>
      <c r="P61" s="5"/>
    </row>
    <row r="62" spans="1:16" ht="25">
      <c r="A62" s="5">
        <v>58</v>
      </c>
      <c r="B62" s="8" t="s">
        <v>755</v>
      </c>
      <c r="C62" s="6" t="s">
        <v>648</v>
      </c>
      <c r="D62" s="6" t="s">
        <v>721</v>
      </c>
      <c r="E62" s="6" t="s">
        <v>746</v>
      </c>
      <c r="F62" s="6" t="s">
        <v>689</v>
      </c>
      <c r="G62" s="40" t="s">
        <v>336</v>
      </c>
      <c r="H62" s="7" t="str">
        <f>INDEX(优化后功能框架!$C$5:$C$37,MATCH($G62,优化后功能框架!$A$5:$A$37,0))</f>
        <v>报名材料与文档</v>
      </c>
      <c r="I62" s="5" t="str">
        <f>INDEX(优化后功能框架!$F$5:$F$37,MATCH($G62,优化后功能框架!$A$5:$A$37,0))</f>
        <v>成员3</v>
      </c>
      <c r="J62" s="5" t="str">
        <f>INDEX(优化后功能框架!$G$5:$G$37,MATCH($G62,优化后功能框架!$A$5:$A$37,0))</f>
        <v>成员1</v>
      </c>
      <c r="K62" s="7" t="str">
        <f>INDEX(优化后功能框架!$H$5:$H$37,MATCH($G62,优化后功能框架!$A$5:$A$37,0))</f>
        <v>手写复杂页(含于报名页与审核台)</v>
      </c>
      <c r="L62" s="5" t="str">
        <f>INDEX(优化后功能框架!$I$5:$I$37,MATCH($G62,优化后功能框架!$A$5:$A$37,0))</f>
        <v>L1</v>
      </c>
      <c r="M62" s="5" t="str">
        <f>INDEX(优化后功能框架!$J$5:$J$37,MATCH($G62,优化后功能框架!$A$5:$A$37,0))</f>
        <v>P0</v>
      </c>
      <c r="N62" s="5" t="str">
        <f>INDEX(优化后功能框架!$M$5:$M$37,MATCH($G62,优化后功能框架!$A$5:$A$37,0))</f>
        <v>D7</v>
      </c>
      <c r="O62" s="7"/>
      <c r="P62" s="5"/>
    </row>
    <row r="63" spans="1:16">
      <c r="A63" s="5">
        <v>59</v>
      </c>
      <c r="B63" s="8" t="s">
        <v>756</v>
      </c>
      <c r="C63" s="6" t="s">
        <v>648</v>
      </c>
      <c r="D63" s="6" t="s">
        <v>757</v>
      </c>
      <c r="E63" s="6" t="s">
        <v>722</v>
      </c>
      <c r="F63" s="6" t="s">
        <v>758</v>
      </c>
      <c r="G63" s="40" t="s">
        <v>567</v>
      </c>
      <c r="H63" s="7" t="str">
        <f>INDEX(优化后功能框架!$C$5:$C$37,MATCH($G63,优化后功能框架!$A$5:$A$37,0))</f>
        <v>多级审核</v>
      </c>
      <c r="I63" s="5" t="str">
        <f>INDEX(优化后功能框架!$F$5:$F$37,MATCH($G63,优化后功能框架!$A$5:$A$37,0))</f>
        <v>成员3</v>
      </c>
      <c r="J63" s="5" t="str">
        <f>INDEX(优化后功能框架!$G$5:$G$37,MATCH($G63,优化后功能框架!$A$5:$A$37,0))</f>
        <v>成员1</v>
      </c>
      <c r="K63" s="7" t="str">
        <f>INDEX(优化后功能框架!$H$5:$H$37,MATCH($G63,优化后功能框架!$A$5:$A$37,0))</f>
        <v>手写复杂页</v>
      </c>
      <c r="L63" s="5" t="str">
        <f>INDEX(优化后功能框架!$I$5:$I$37,MATCH($G63,优化后功能框架!$A$5:$A$37,0))</f>
        <v>L1</v>
      </c>
      <c r="M63" s="5" t="str">
        <f>INDEX(优化后功能框架!$J$5:$J$37,MATCH($G63,优化后功能框架!$A$5:$A$37,0))</f>
        <v>P0</v>
      </c>
      <c r="N63" s="5" t="str">
        <f>INDEX(优化后功能框架!$M$5:$M$37,MATCH($G63,优化后功能框架!$A$5:$A$37,0))</f>
        <v>D5</v>
      </c>
      <c r="O63" s="7"/>
      <c r="P63" s="5"/>
    </row>
    <row r="64" spans="1:16">
      <c r="A64" s="5">
        <v>60</v>
      </c>
      <c r="B64" s="8" t="s">
        <v>759</v>
      </c>
      <c r="C64" s="6" t="s">
        <v>648</v>
      </c>
      <c r="D64" s="6" t="s">
        <v>757</v>
      </c>
      <c r="E64" s="6" t="s">
        <v>722</v>
      </c>
      <c r="F64" s="6" t="s">
        <v>672</v>
      </c>
      <c r="G64" s="40" t="s">
        <v>567</v>
      </c>
      <c r="H64" s="7" t="str">
        <f>INDEX(优化后功能框架!$C$5:$C$37,MATCH($G64,优化后功能框架!$A$5:$A$37,0))</f>
        <v>多级审核</v>
      </c>
      <c r="I64" s="5" t="str">
        <f>INDEX(优化后功能框架!$F$5:$F$37,MATCH($G64,优化后功能框架!$A$5:$A$37,0))</f>
        <v>成员3</v>
      </c>
      <c r="J64" s="5" t="str">
        <f>INDEX(优化后功能框架!$G$5:$G$37,MATCH($G64,优化后功能框架!$A$5:$A$37,0))</f>
        <v>成员1</v>
      </c>
      <c r="K64" s="7" t="str">
        <f>INDEX(优化后功能框架!$H$5:$H$37,MATCH($G64,优化后功能框架!$A$5:$A$37,0))</f>
        <v>手写复杂页</v>
      </c>
      <c r="L64" s="5" t="str">
        <f>INDEX(优化后功能框架!$I$5:$I$37,MATCH($G64,优化后功能框架!$A$5:$A$37,0))</f>
        <v>L1</v>
      </c>
      <c r="M64" s="5" t="str">
        <f>INDEX(优化后功能框架!$J$5:$J$37,MATCH($G64,优化后功能框架!$A$5:$A$37,0))</f>
        <v>P0</v>
      </c>
      <c r="N64" s="5" t="str">
        <f>INDEX(优化后功能框架!$M$5:$M$37,MATCH($G64,优化后功能框架!$A$5:$A$37,0))</f>
        <v>D5</v>
      </c>
      <c r="O64" s="7"/>
      <c r="P64" s="5"/>
    </row>
    <row r="65" spans="1:16">
      <c r="A65" s="5">
        <v>61</v>
      </c>
      <c r="B65" s="8" t="s">
        <v>760</v>
      </c>
      <c r="C65" s="6" t="s">
        <v>648</v>
      </c>
      <c r="D65" s="6" t="s">
        <v>757</v>
      </c>
      <c r="E65" s="6" t="s">
        <v>722</v>
      </c>
      <c r="F65" s="6" t="s">
        <v>674</v>
      </c>
      <c r="G65" s="40" t="s">
        <v>567</v>
      </c>
      <c r="H65" s="7" t="str">
        <f>INDEX(优化后功能框架!$C$5:$C$37,MATCH($G65,优化后功能框架!$A$5:$A$37,0))</f>
        <v>多级审核</v>
      </c>
      <c r="I65" s="5" t="str">
        <f>INDEX(优化后功能框架!$F$5:$F$37,MATCH($G65,优化后功能框架!$A$5:$A$37,0))</f>
        <v>成员3</v>
      </c>
      <c r="J65" s="5" t="str">
        <f>INDEX(优化后功能框架!$G$5:$G$37,MATCH($G65,优化后功能框架!$A$5:$A$37,0))</f>
        <v>成员1</v>
      </c>
      <c r="K65" s="7" t="str">
        <f>INDEX(优化后功能框架!$H$5:$H$37,MATCH($G65,优化后功能框架!$A$5:$A$37,0))</f>
        <v>手写复杂页</v>
      </c>
      <c r="L65" s="5" t="str">
        <f>INDEX(优化后功能框架!$I$5:$I$37,MATCH($G65,优化后功能框架!$A$5:$A$37,0))</f>
        <v>L1</v>
      </c>
      <c r="M65" s="5" t="str">
        <f>INDEX(优化后功能框架!$J$5:$J$37,MATCH($G65,优化后功能框架!$A$5:$A$37,0))</f>
        <v>P0</v>
      </c>
      <c r="N65" s="5" t="str">
        <f>INDEX(优化后功能框架!$M$5:$M$37,MATCH($G65,优化后功能框架!$A$5:$A$37,0))</f>
        <v>D5</v>
      </c>
      <c r="O65" s="7"/>
      <c r="P65" s="5"/>
    </row>
    <row r="66" spans="1:16">
      <c r="A66" s="5">
        <v>62</v>
      </c>
      <c r="B66" s="8" t="s">
        <v>761</v>
      </c>
      <c r="C66" s="6" t="s">
        <v>648</v>
      </c>
      <c r="D66" s="6" t="s">
        <v>757</v>
      </c>
      <c r="E66" s="6" t="s">
        <v>722</v>
      </c>
      <c r="F66" s="6" t="s">
        <v>676</v>
      </c>
      <c r="G66" s="40" t="s">
        <v>567</v>
      </c>
      <c r="H66" s="7" t="str">
        <f>INDEX(优化后功能框架!$C$5:$C$37,MATCH($G66,优化后功能框架!$A$5:$A$37,0))</f>
        <v>多级审核</v>
      </c>
      <c r="I66" s="5" t="str">
        <f>INDEX(优化后功能框架!$F$5:$F$37,MATCH($G66,优化后功能框架!$A$5:$A$37,0))</f>
        <v>成员3</v>
      </c>
      <c r="J66" s="5" t="str">
        <f>INDEX(优化后功能框架!$G$5:$G$37,MATCH($G66,优化后功能框架!$A$5:$A$37,0))</f>
        <v>成员1</v>
      </c>
      <c r="K66" s="7" t="str">
        <f>INDEX(优化后功能框架!$H$5:$H$37,MATCH($G66,优化后功能框架!$A$5:$A$37,0))</f>
        <v>手写复杂页</v>
      </c>
      <c r="L66" s="5" t="str">
        <f>INDEX(优化后功能框架!$I$5:$I$37,MATCH($G66,优化后功能框架!$A$5:$A$37,0))</f>
        <v>L1</v>
      </c>
      <c r="M66" s="5" t="str">
        <f>INDEX(优化后功能框架!$J$5:$J$37,MATCH($G66,优化后功能框架!$A$5:$A$37,0))</f>
        <v>P0</v>
      </c>
      <c r="N66" s="5" t="str">
        <f>INDEX(优化后功能框架!$M$5:$M$37,MATCH($G66,优化后功能框架!$A$5:$A$37,0))</f>
        <v>D5</v>
      </c>
      <c r="O66" s="7"/>
      <c r="P66" s="5"/>
    </row>
    <row r="67" spans="1:16">
      <c r="A67" s="5">
        <v>63</v>
      </c>
      <c r="B67" s="8" t="s">
        <v>762</v>
      </c>
      <c r="C67" s="6" t="s">
        <v>648</v>
      </c>
      <c r="D67" s="6" t="s">
        <v>757</v>
      </c>
      <c r="E67" s="6" t="s">
        <v>722</v>
      </c>
      <c r="F67" s="6" t="s">
        <v>763</v>
      </c>
      <c r="G67" s="40" t="s">
        <v>567</v>
      </c>
      <c r="H67" s="7" t="str">
        <f>INDEX(优化后功能框架!$C$5:$C$37,MATCH($G67,优化后功能框架!$A$5:$A$37,0))</f>
        <v>多级审核</v>
      </c>
      <c r="I67" s="5" t="str">
        <f>INDEX(优化后功能框架!$F$5:$F$37,MATCH($G67,优化后功能框架!$A$5:$A$37,0))</f>
        <v>成员3</v>
      </c>
      <c r="J67" s="5" t="str">
        <f>INDEX(优化后功能框架!$G$5:$G$37,MATCH($G67,优化后功能框架!$A$5:$A$37,0))</f>
        <v>成员1</v>
      </c>
      <c r="K67" s="7" t="str">
        <f>INDEX(优化后功能框架!$H$5:$H$37,MATCH($G67,优化后功能框架!$A$5:$A$37,0))</f>
        <v>手写复杂页</v>
      </c>
      <c r="L67" s="5" t="str">
        <f>INDEX(优化后功能框架!$I$5:$I$37,MATCH($G67,优化后功能框架!$A$5:$A$37,0))</f>
        <v>L1</v>
      </c>
      <c r="M67" s="5" t="str">
        <f>INDEX(优化后功能框架!$J$5:$J$37,MATCH($G67,优化后功能框架!$A$5:$A$37,0))</f>
        <v>P0</v>
      </c>
      <c r="N67" s="5" t="str">
        <f>INDEX(优化后功能框架!$M$5:$M$37,MATCH($G67,优化后功能框架!$A$5:$A$37,0))</f>
        <v>D5</v>
      </c>
      <c r="O67" s="7"/>
      <c r="P67" s="5"/>
    </row>
    <row r="68" spans="1:16">
      <c r="A68" s="5">
        <v>64</v>
      </c>
      <c r="B68" s="8" t="s">
        <v>764</v>
      </c>
      <c r="C68" s="6" t="s">
        <v>648</v>
      </c>
      <c r="D68" s="6" t="s">
        <v>757</v>
      </c>
      <c r="E68" s="6" t="s">
        <v>722</v>
      </c>
      <c r="F68" s="6" t="s">
        <v>765</v>
      </c>
      <c r="G68" s="40" t="s">
        <v>567</v>
      </c>
      <c r="H68" s="7" t="str">
        <f>INDEX(优化后功能框架!$C$5:$C$37,MATCH($G68,优化后功能框架!$A$5:$A$37,0))</f>
        <v>多级审核</v>
      </c>
      <c r="I68" s="5" t="str">
        <f>INDEX(优化后功能框架!$F$5:$F$37,MATCH($G68,优化后功能框架!$A$5:$A$37,0))</f>
        <v>成员3</v>
      </c>
      <c r="J68" s="5" t="str">
        <f>INDEX(优化后功能框架!$G$5:$G$37,MATCH($G68,优化后功能框架!$A$5:$A$37,0))</f>
        <v>成员1</v>
      </c>
      <c r="K68" s="7" t="str">
        <f>INDEX(优化后功能框架!$H$5:$H$37,MATCH($G68,优化后功能框架!$A$5:$A$37,0))</f>
        <v>手写复杂页</v>
      </c>
      <c r="L68" s="5" t="str">
        <f>INDEX(优化后功能框架!$I$5:$I$37,MATCH($G68,优化后功能框架!$A$5:$A$37,0))</f>
        <v>L1</v>
      </c>
      <c r="M68" s="5" t="str">
        <f>INDEX(优化后功能框架!$J$5:$J$37,MATCH($G68,优化后功能框架!$A$5:$A$37,0))</f>
        <v>P0</v>
      </c>
      <c r="N68" s="5" t="str">
        <f>INDEX(优化后功能框架!$M$5:$M$37,MATCH($G68,优化后功能框架!$A$5:$A$37,0))</f>
        <v>D5</v>
      </c>
      <c r="O68" s="7"/>
      <c r="P68" s="5"/>
    </row>
    <row r="69" spans="1:16" ht="25">
      <c r="A69" s="5">
        <v>65</v>
      </c>
      <c r="B69" s="8" t="s">
        <v>766</v>
      </c>
      <c r="C69" s="6" t="s">
        <v>648</v>
      </c>
      <c r="D69" s="6" t="s">
        <v>757</v>
      </c>
      <c r="E69" s="6" t="s">
        <v>722</v>
      </c>
      <c r="F69" s="6" t="s">
        <v>767</v>
      </c>
      <c r="G69" s="40" t="s">
        <v>336</v>
      </c>
      <c r="H69" s="7" t="str">
        <f>INDEX(优化后功能框架!$C$5:$C$37,MATCH($G69,优化后功能框架!$A$5:$A$37,0))</f>
        <v>报名材料与文档</v>
      </c>
      <c r="I69" s="5" t="str">
        <f>INDEX(优化后功能框架!$F$5:$F$37,MATCH($G69,优化后功能框架!$A$5:$A$37,0))</f>
        <v>成员3</v>
      </c>
      <c r="J69" s="5" t="str">
        <f>INDEX(优化后功能框架!$G$5:$G$37,MATCH($G69,优化后功能框架!$A$5:$A$37,0))</f>
        <v>成员1</v>
      </c>
      <c r="K69" s="7" t="str">
        <f>INDEX(优化后功能框架!$H$5:$H$37,MATCH($G69,优化后功能框架!$A$5:$A$37,0))</f>
        <v>手写复杂页(含于报名页与审核台)</v>
      </c>
      <c r="L69" s="5" t="str">
        <f>INDEX(优化后功能框架!$I$5:$I$37,MATCH($G69,优化后功能框架!$A$5:$A$37,0))</f>
        <v>L1</v>
      </c>
      <c r="M69" s="5" t="str">
        <f>INDEX(优化后功能框架!$J$5:$J$37,MATCH($G69,优化后功能框架!$A$5:$A$37,0))</f>
        <v>P0</v>
      </c>
      <c r="N69" s="5" t="str">
        <f>INDEX(优化后功能框架!$M$5:$M$37,MATCH($G69,优化后功能框架!$A$5:$A$37,0))</f>
        <v>D7</v>
      </c>
      <c r="O69" s="7"/>
      <c r="P69" s="5"/>
    </row>
    <row r="70" spans="1:16">
      <c r="A70" s="5">
        <v>66</v>
      </c>
      <c r="B70" s="8" t="s">
        <v>768</v>
      </c>
      <c r="C70" s="6" t="s">
        <v>648</v>
      </c>
      <c r="D70" s="6" t="s">
        <v>757</v>
      </c>
      <c r="E70" s="6" t="s">
        <v>722</v>
      </c>
      <c r="F70" s="6" t="s">
        <v>769</v>
      </c>
      <c r="G70" s="40" t="s">
        <v>567</v>
      </c>
      <c r="H70" s="7" t="str">
        <f>INDEX(优化后功能框架!$C$5:$C$37,MATCH($G70,优化后功能框架!$A$5:$A$37,0))</f>
        <v>多级审核</v>
      </c>
      <c r="I70" s="5" t="str">
        <f>INDEX(优化后功能框架!$F$5:$F$37,MATCH($G70,优化后功能框架!$A$5:$A$37,0))</f>
        <v>成员3</v>
      </c>
      <c r="J70" s="5" t="str">
        <f>INDEX(优化后功能框架!$G$5:$G$37,MATCH($G70,优化后功能框架!$A$5:$A$37,0))</f>
        <v>成员1</v>
      </c>
      <c r="K70" s="7" t="str">
        <f>INDEX(优化后功能框架!$H$5:$H$37,MATCH($G70,优化后功能框架!$A$5:$A$37,0))</f>
        <v>手写复杂页</v>
      </c>
      <c r="L70" s="5" t="str">
        <f>INDEX(优化后功能框架!$I$5:$I$37,MATCH($G70,优化后功能框架!$A$5:$A$37,0))</f>
        <v>L1</v>
      </c>
      <c r="M70" s="5" t="str">
        <f>INDEX(优化后功能框架!$J$5:$J$37,MATCH($G70,优化后功能框架!$A$5:$A$37,0))</f>
        <v>P0</v>
      </c>
      <c r="N70" s="5" t="str">
        <f>INDEX(优化后功能框架!$M$5:$M$37,MATCH($G70,优化后功能框架!$A$5:$A$37,0))</f>
        <v>D5</v>
      </c>
      <c r="O70" s="7"/>
      <c r="P70" s="5"/>
    </row>
    <row r="71" spans="1:16" ht="23">
      <c r="A71" s="5">
        <v>67</v>
      </c>
      <c r="B71" s="8" t="s">
        <v>770</v>
      </c>
      <c r="C71" s="6" t="s">
        <v>648</v>
      </c>
      <c r="D71" s="6" t="s">
        <v>757</v>
      </c>
      <c r="E71" s="6" t="s">
        <v>771</v>
      </c>
      <c r="F71" s="6" t="s">
        <v>772</v>
      </c>
      <c r="G71" s="40" t="s">
        <v>540</v>
      </c>
      <c r="H71" s="7" t="str">
        <f>INDEX(优化后功能框架!$C$5:$C$37,MATCH($G71,优化后功能框架!$A$5:$A$37,0))</f>
        <v>管理员人员管理</v>
      </c>
      <c r="I71" s="5" t="str">
        <f>INDEX(优化后功能框架!$F$5:$F$37,MATCH($G71,优化后功能框架!$A$5:$A$37,0))</f>
        <v>成员4</v>
      </c>
      <c r="J71" s="5" t="str">
        <f>INDEX(优化后功能框架!$G$5:$G$37,MATCH($G71,优化后功能框架!$A$5:$A$37,0))</f>
        <v>成员4</v>
      </c>
      <c r="K71" s="7" t="str">
        <f>INDEX(优化后功能框架!$H$5:$H$37,MATCH($G71,优化后功能框架!$A$5:$A$37,0))</f>
        <v>生成器标准页</v>
      </c>
      <c r="L71" s="5" t="str">
        <f>INDEX(优化后功能框架!$I$5:$I$37,MATCH($G71,优化后功能框架!$A$5:$A$37,0))</f>
        <v>L2</v>
      </c>
      <c r="M71" s="5" t="str">
        <f>INDEX(优化后功能框架!$J$5:$J$37,MATCH($G71,优化后功能框架!$A$5:$A$37,0))</f>
        <v>P1</v>
      </c>
      <c r="N71" s="5" t="str">
        <f>INDEX(优化后功能框架!$M$5:$M$37,MATCH($G71,优化后功能框架!$A$5:$A$37,0))</f>
        <v>D8</v>
      </c>
      <c r="O71" s="44" t="s">
        <v>773</v>
      </c>
      <c r="P71" s="5"/>
    </row>
    <row r="72" spans="1:16" ht="23">
      <c r="A72" s="5">
        <v>68</v>
      </c>
      <c r="B72" s="8" t="s">
        <v>774</v>
      </c>
      <c r="C72" s="6" t="s">
        <v>648</v>
      </c>
      <c r="D72" s="6" t="s">
        <v>757</v>
      </c>
      <c r="E72" s="6" t="s">
        <v>771</v>
      </c>
      <c r="F72" s="6" t="s">
        <v>775</v>
      </c>
      <c r="G72" s="40" t="s">
        <v>540</v>
      </c>
      <c r="H72" s="7" t="str">
        <f>INDEX(优化后功能框架!$C$5:$C$37,MATCH($G72,优化后功能框架!$A$5:$A$37,0))</f>
        <v>管理员人员管理</v>
      </c>
      <c r="I72" s="5" t="str">
        <f>INDEX(优化后功能框架!$F$5:$F$37,MATCH($G72,优化后功能框架!$A$5:$A$37,0))</f>
        <v>成员4</v>
      </c>
      <c r="J72" s="5" t="str">
        <f>INDEX(优化后功能框架!$G$5:$G$37,MATCH($G72,优化后功能框架!$A$5:$A$37,0))</f>
        <v>成员4</v>
      </c>
      <c r="K72" s="7" t="str">
        <f>INDEX(优化后功能框架!$H$5:$H$37,MATCH($G72,优化后功能框架!$A$5:$A$37,0))</f>
        <v>生成器标准页</v>
      </c>
      <c r="L72" s="5" t="str">
        <f>INDEX(优化后功能框架!$I$5:$I$37,MATCH($G72,优化后功能框架!$A$5:$A$37,0))</f>
        <v>L2</v>
      </c>
      <c r="M72" s="5" t="str">
        <f>INDEX(优化后功能框架!$J$5:$J$37,MATCH($G72,优化后功能框架!$A$5:$A$37,0))</f>
        <v>P1</v>
      </c>
      <c r="N72" s="5" t="str">
        <f>INDEX(优化后功能框架!$M$5:$M$37,MATCH($G72,优化后功能框架!$A$5:$A$37,0))</f>
        <v>D8</v>
      </c>
      <c r="O72" s="44" t="s">
        <v>773</v>
      </c>
      <c r="P72" s="5"/>
    </row>
    <row r="73" spans="1:16">
      <c r="A73" s="5">
        <v>69</v>
      </c>
      <c r="B73" s="8" t="s">
        <v>776</v>
      </c>
      <c r="C73" s="6" t="s">
        <v>648</v>
      </c>
      <c r="D73" s="6" t="s">
        <v>757</v>
      </c>
      <c r="E73" s="6" t="s">
        <v>771</v>
      </c>
      <c r="F73" s="6" t="s">
        <v>777</v>
      </c>
      <c r="G73" s="40" t="s">
        <v>540</v>
      </c>
      <c r="H73" s="7" t="str">
        <f>INDEX(优化后功能框架!$C$5:$C$37,MATCH($G73,优化后功能框架!$A$5:$A$37,0))</f>
        <v>管理员人员管理</v>
      </c>
      <c r="I73" s="5" t="str">
        <f>INDEX(优化后功能框架!$F$5:$F$37,MATCH($G73,优化后功能框架!$A$5:$A$37,0))</f>
        <v>成员4</v>
      </c>
      <c r="J73" s="5" t="str">
        <f>INDEX(优化后功能框架!$G$5:$G$37,MATCH($G73,优化后功能框架!$A$5:$A$37,0))</f>
        <v>成员4</v>
      </c>
      <c r="K73" s="7" t="str">
        <f>INDEX(优化后功能框架!$H$5:$H$37,MATCH($G73,优化后功能框架!$A$5:$A$37,0))</f>
        <v>生成器标准页</v>
      </c>
      <c r="L73" s="5" t="str">
        <f>INDEX(优化后功能框架!$I$5:$I$37,MATCH($G73,优化后功能框架!$A$5:$A$37,0))</f>
        <v>L2</v>
      </c>
      <c r="M73" s="5" t="str">
        <f>INDEX(优化后功能框架!$J$5:$J$37,MATCH($G73,优化后功能框架!$A$5:$A$37,0))</f>
        <v>P1</v>
      </c>
      <c r="N73" s="5" t="str">
        <f>INDEX(优化后功能框架!$M$5:$M$37,MATCH($G73,优化后功能框架!$A$5:$A$37,0))</f>
        <v>D8</v>
      </c>
      <c r="O73" s="7"/>
      <c r="P73" s="5"/>
    </row>
    <row r="74" spans="1:16">
      <c r="A74" s="5">
        <v>70</v>
      </c>
      <c r="B74" s="8" t="s">
        <v>778</v>
      </c>
      <c r="C74" s="6" t="s">
        <v>648</v>
      </c>
      <c r="D74" s="6" t="s">
        <v>757</v>
      </c>
      <c r="E74" s="6" t="s">
        <v>771</v>
      </c>
      <c r="F74" s="6" t="s">
        <v>779</v>
      </c>
      <c r="G74" s="40" t="s">
        <v>341</v>
      </c>
      <c r="H74" s="7" t="str">
        <f>INDEX(优化后功能框架!$C$5:$C$37,MATCH($G74,优化后功能框架!$A$5:$A$37,0))</f>
        <v>报名统计与导出</v>
      </c>
      <c r="I74" s="5" t="str">
        <f>INDEX(优化后功能框架!$F$5:$F$37,MATCH($G74,优化后功能框架!$A$5:$A$37,0))</f>
        <v>成员3</v>
      </c>
      <c r="J74" s="5" t="str">
        <f>INDEX(优化后功能框架!$G$5:$G$37,MATCH($G74,优化后功能框架!$A$5:$A$37,0))</f>
        <v>成员3</v>
      </c>
      <c r="K74" s="7" t="str">
        <f>INDEX(优化后功能框架!$H$5:$H$37,MATCH($G74,优化后功能框架!$A$5:$A$37,0))</f>
        <v>生成器标准页</v>
      </c>
      <c r="L74" s="5" t="str">
        <f>INDEX(优化后功能框架!$I$5:$I$37,MATCH($G74,优化后功能框架!$A$5:$A$37,0))</f>
        <v>L2</v>
      </c>
      <c r="M74" s="5" t="str">
        <f>INDEX(优化后功能框架!$J$5:$J$37,MATCH($G74,优化后功能框架!$A$5:$A$37,0))</f>
        <v>P1</v>
      </c>
      <c r="N74" s="5" t="str">
        <f>INDEX(优化后功能框架!$M$5:$M$37,MATCH($G74,优化后功能框架!$A$5:$A$37,0))</f>
        <v>D8</v>
      </c>
      <c r="O74" s="7"/>
      <c r="P74" s="5"/>
    </row>
    <row r="75" spans="1:16">
      <c r="A75" s="5">
        <v>71</v>
      </c>
      <c r="B75" s="8" t="s">
        <v>780</v>
      </c>
      <c r="C75" s="6" t="s">
        <v>648</v>
      </c>
      <c r="D75" s="6" t="s">
        <v>757</v>
      </c>
      <c r="E75" s="6" t="s">
        <v>771</v>
      </c>
      <c r="F75" s="6" t="s">
        <v>781</v>
      </c>
      <c r="G75" s="40" t="s">
        <v>341</v>
      </c>
      <c r="H75" s="7" t="str">
        <f>INDEX(优化后功能框架!$C$5:$C$37,MATCH($G75,优化后功能框架!$A$5:$A$37,0))</f>
        <v>报名统计与导出</v>
      </c>
      <c r="I75" s="5" t="str">
        <f>INDEX(优化后功能框架!$F$5:$F$37,MATCH($G75,优化后功能框架!$A$5:$A$37,0))</f>
        <v>成员3</v>
      </c>
      <c r="J75" s="5" t="str">
        <f>INDEX(优化后功能框架!$G$5:$G$37,MATCH($G75,优化后功能框架!$A$5:$A$37,0))</f>
        <v>成员3</v>
      </c>
      <c r="K75" s="7" t="str">
        <f>INDEX(优化后功能框架!$H$5:$H$37,MATCH($G75,优化后功能框架!$A$5:$A$37,0))</f>
        <v>生成器标准页</v>
      </c>
      <c r="L75" s="5" t="str">
        <f>INDEX(优化后功能框架!$I$5:$I$37,MATCH($G75,优化后功能框架!$A$5:$A$37,0))</f>
        <v>L2</v>
      </c>
      <c r="M75" s="5" t="str">
        <f>INDEX(优化后功能框架!$J$5:$J$37,MATCH($G75,优化后功能框架!$A$5:$A$37,0))</f>
        <v>P1</v>
      </c>
      <c r="N75" s="5" t="str">
        <f>INDEX(优化后功能框架!$M$5:$M$37,MATCH($G75,优化后功能框架!$A$5:$A$37,0))</f>
        <v>D8</v>
      </c>
      <c r="O75" s="7"/>
      <c r="P75" s="5"/>
    </row>
    <row r="76" spans="1:16" ht="23">
      <c r="A76" s="5">
        <v>72</v>
      </c>
      <c r="B76" s="8" t="s">
        <v>782</v>
      </c>
      <c r="C76" s="6" t="s">
        <v>648</v>
      </c>
      <c r="D76" s="6" t="s">
        <v>757</v>
      </c>
      <c r="E76" s="6" t="s">
        <v>771</v>
      </c>
      <c r="F76" s="6" t="s">
        <v>772</v>
      </c>
      <c r="G76" s="40" t="s">
        <v>540</v>
      </c>
      <c r="H76" s="7" t="str">
        <f>INDEX(优化后功能框架!$C$5:$C$37,MATCH($G76,优化后功能框架!$A$5:$A$37,0))</f>
        <v>管理员人员管理</v>
      </c>
      <c r="I76" s="5" t="str">
        <f>INDEX(优化后功能框架!$F$5:$F$37,MATCH($G76,优化后功能框架!$A$5:$A$37,0))</f>
        <v>成员4</v>
      </c>
      <c r="J76" s="5" t="str">
        <f>INDEX(优化后功能框架!$G$5:$G$37,MATCH($G76,优化后功能框架!$A$5:$A$37,0))</f>
        <v>成员4</v>
      </c>
      <c r="K76" s="7" t="str">
        <f>INDEX(优化后功能框架!$H$5:$H$37,MATCH($G76,优化后功能框架!$A$5:$A$37,0))</f>
        <v>生成器标准页</v>
      </c>
      <c r="L76" s="5" t="str">
        <f>INDEX(优化后功能框架!$I$5:$I$37,MATCH($G76,优化后功能框架!$A$5:$A$37,0))</f>
        <v>L2</v>
      </c>
      <c r="M76" s="5" t="str">
        <f>INDEX(优化后功能框架!$J$5:$J$37,MATCH($G76,优化后功能框架!$A$5:$A$37,0))</f>
        <v>P1</v>
      </c>
      <c r="N76" s="5" t="str">
        <f>INDEX(优化后功能框架!$M$5:$M$37,MATCH($G76,优化后功能框架!$A$5:$A$37,0))</f>
        <v>D8</v>
      </c>
      <c r="O76" s="44" t="s">
        <v>783</v>
      </c>
      <c r="P76" s="5"/>
    </row>
    <row r="77" spans="1:16" ht="23">
      <c r="A77" s="5">
        <v>73</v>
      </c>
      <c r="B77" s="8" t="s">
        <v>784</v>
      </c>
      <c r="C77" s="6" t="s">
        <v>648</v>
      </c>
      <c r="D77" s="6" t="s">
        <v>757</v>
      </c>
      <c r="E77" s="6" t="s">
        <v>771</v>
      </c>
      <c r="F77" s="6" t="s">
        <v>775</v>
      </c>
      <c r="G77" s="40" t="s">
        <v>540</v>
      </c>
      <c r="H77" s="7" t="str">
        <f>INDEX(优化后功能框架!$C$5:$C$37,MATCH($G77,优化后功能框架!$A$5:$A$37,0))</f>
        <v>管理员人员管理</v>
      </c>
      <c r="I77" s="5" t="str">
        <f>INDEX(优化后功能框架!$F$5:$F$37,MATCH($G77,优化后功能框架!$A$5:$A$37,0))</f>
        <v>成员4</v>
      </c>
      <c r="J77" s="5" t="str">
        <f>INDEX(优化后功能框架!$G$5:$G$37,MATCH($G77,优化后功能框架!$A$5:$A$37,0))</f>
        <v>成员4</v>
      </c>
      <c r="K77" s="7" t="str">
        <f>INDEX(优化后功能框架!$H$5:$H$37,MATCH($G77,优化后功能框架!$A$5:$A$37,0))</f>
        <v>生成器标准页</v>
      </c>
      <c r="L77" s="5" t="str">
        <f>INDEX(优化后功能框架!$I$5:$I$37,MATCH($G77,优化后功能框架!$A$5:$A$37,0))</f>
        <v>L2</v>
      </c>
      <c r="M77" s="5" t="str">
        <f>INDEX(优化后功能框架!$J$5:$J$37,MATCH($G77,优化后功能框架!$A$5:$A$37,0))</f>
        <v>P1</v>
      </c>
      <c r="N77" s="5" t="str">
        <f>INDEX(优化后功能框架!$M$5:$M$37,MATCH($G77,优化后功能框架!$A$5:$A$37,0))</f>
        <v>D8</v>
      </c>
      <c r="O77" s="44" t="s">
        <v>783</v>
      </c>
      <c r="P77" s="5"/>
    </row>
    <row r="78" spans="1:16">
      <c r="A78" s="5">
        <v>74</v>
      </c>
      <c r="B78" s="8" t="s">
        <v>785</v>
      </c>
      <c r="C78" s="6" t="s">
        <v>648</v>
      </c>
      <c r="D78" s="6" t="s">
        <v>757</v>
      </c>
      <c r="E78" s="6" t="s">
        <v>771</v>
      </c>
      <c r="F78" s="6" t="s">
        <v>786</v>
      </c>
      <c r="G78" s="40" t="s">
        <v>540</v>
      </c>
      <c r="H78" s="7" t="str">
        <f>INDEX(优化后功能框架!$C$5:$C$37,MATCH($G78,优化后功能框架!$A$5:$A$37,0))</f>
        <v>管理员人员管理</v>
      </c>
      <c r="I78" s="5" t="str">
        <f>INDEX(优化后功能框架!$F$5:$F$37,MATCH($G78,优化后功能框架!$A$5:$A$37,0))</f>
        <v>成员4</v>
      </c>
      <c r="J78" s="5" t="str">
        <f>INDEX(优化后功能框架!$G$5:$G$37,MATCH($G78,优化后功能框架!$A$5:$A$37,0))</f>
        <v>成员4</v>
      </c>
      <c r="K78" s="7" t="str">
        <f>INDEX(优化后功能框架!$H$5:$H$37,MATCH($G78,优化后功能框架!$A$5:$A$37,0))</f>
        <v>生成器标准页</v>
      </c>
      <c r="L78" s="5" t="str">
        <f>INDEX(优化后功能框架!$I$5:$I$37,MATCH($G78,优化后功能框架!$A$5:$A$37,0))</f>
        <v>L2</v>
      </c>
      <c r="M78" s="5" t="str">
        <f>INDEX(优化后功能框架!$J$5:$J$37,MATCH($G78,优化后功能框架!$A$5:$A$37,0))</f>
        <v>P1</v>
      </c>
      <c r="N78" s="5" t="str">
        <f>INDEX(优化后功能框架!$M$5:$M$37,MATCH($G78,优化后功能框架!$A$5:$A$37,0))</f>
        <v>D8</v>
      </c>
      <c r="O78" s="7"/>
      <c r="P78" s="5"/>
    </row>
    <row r="79" spans="1:16">
      <c r="A79" s="5">
        <v>75</v>
      </c>
      <c r="B79" s="8" t="s">
        <v>787</v>
      </c>
      <c r="C79" s="6" t="s">
        <v>648</v>
      </c>
      <c r="D79" s="6" t="s">
        <v>757</v>
      </c>
      <c r="E79" s="6" t="s">
        <v>771</v>
      </c>
      <c r="F79" s="6" t="s">
        <v>788</v>
      </c>
      <c r="G79" s="40" t="s">
        <v>540</v>
      </c>
      <c r="H79" s="7" t="str">
        <f>INDEX(优化后功能框架!$C$5:$C$37,MATCH($G79,优化后功能框架!$A$5:$A$37,0))</f>
        <v>管理员人员管理</v>
      </c>
      <c r="I79" s="5" t="str">
        <f>INDEX(优化后功能框架!$F$5:$F$37,MATCH($G79,优化后功能框架!$A$5:$A$37,0))</f>
        <v>成员4</v>
      </c>
      <c r="J79" s="5" t="str">
        <f>INDEX(优化后功能框架!$G$5:$G$37,MATCH($G79,优化后功能框架!$A$5:$A$37,0))</f>
        <v>成员4</v>
      </c>
      <c r="K79" s="7" t="str">
        <f>INDEX(优化后功能框架!$H$5:$H$37,MATCH($G79,优化后功能框架!$A$5:$A$37,0))</f>
        <v>生成器标准页</v>
      </c>
      <c r="L79" s="5" t="str">
        <f>INDEX(优化后功能框架!$I$5:$I$37,MATCH($G79,优化后功能框架!$A$5:$A$37,0))</f>
        <v>L2</v>
      </c>
      <c r="M79" s="5" t="str">
        <f>INDEX(优化后功能框架!$J$5:$J$37,MATCH($G79,优化后功能框架!$A$5:$A$37,0))</f>
        <v>P1</v>
      </c>
      <c r="N79" s="5" t="str">
        <f>INDEX(优化后功能框架!$M$5:$M$37,MATCH($G79,优化后功能框架!$A$5:$A$37,0))</f>
        <v>D8</v>
      </c>
      <c r="O79" s="7"/>
      <c r="P79" s="5"/>
    </row>
    <row r="80" spans="1:16">
      <c r="A80" s="5">
        <v>76</v>
      </c>
      <c r="B80" s="8" t="s">
        <v>789</v>
      </c>
      <c r="C80" s="6" t="s">
        <v>648</v>
      </c>
      <c r="D80" s="6" t="s">
        <v>757</v>
      </c>
      <c r="E80" s="6" t="s">
        <v>771</v>
      </c>
      <c r="F80" s="6" t="s">
        <v>790</v>
      </c>
      <c r="G80" s="40" t="s">
        <v>540</v>
      </c>
      <c r="H80" s="7" t="str">
        <f>INDEX(优化后功能框架!$C$5:$C$37,MATCH($G80,优化后功能框架!$A$5:$A$37,0))</f>
        <v>管理员人员管理</v>
      </c>
      <c r="I80" s="5" t="str">
        <f>INDEX(优化后功能框架!$F$5:$F$37,MATCH($G80,优化后功能框架!$A$5:$A$37,0))</f>
        <v>成员4</v>
      </c>
      <c r="J80" s="5" t="str">
        <f>INDEX(优化后功能框架!$G$5:$G$37,MATCH($G80,优化后功能框架!$A$5:$A$37,0))</f>
        <v>成员4</v>
      </c>
      <c r="K80" s="7" t="str">
        <f>INDEX(优化后功能框架!$H$5:$H$37,MATCH($G80,优化后功能框架!$A$5:$A$37,0))</f>
        <v>生成器标准页</v>
      </c>
      <c r="L80" s="5" t="str">
        <f>INDEX(优化后功能框架!$I$5:$I$37,MATCH($G80,优化后功能框架!$A$5:$A$37,0))</f>
        <v>L2</v>
      </c>
      <c r="M80" s="5" t="str">
        <f>INDEX(优化后功能框架!$J$5:$J$37,MATCH($G80,优化后功能框架!$A$5:$A$37,0))</f>
        <v>P1</v>
      </c>
      <c r="N80" s="5" t="str">
        <f>INDEX(优化后功能框架!$M$5:$M$37,MATCH($G80,优化后功能框架!$A$5:$A$37,0))</f>
        <v>D8</v>
      </c>
      <c r="O80" s="7"/>
      <c r="P80" s="5"/>
    </row>
    <row r="81" spans="1:16">
      <c r="A81" s="5">
        <v>77</v>
      </c>
      <c r="B81" s="8" t="s">
        <v>791</v>
      </c>
      <c r="C81" s="6" t="s">
        <v>648</v>
      </c>
      <c r="D81" s="6" t="s">
        <v>757</v>
      </c>
      <c r="E81" s="6" t="s">
        <v>771</v>
      </c>
      <c r="F81" s="6" t="s">
        <v>792</v>
      </c>
      <c r="G81" s="40" t="s">
        <v>341</v>
      </c>
      <c r="H81" s="7" t="str">
        <f>INDEX(优化后功能框架!$C$5:$C$37,MATCH($G81,优化后功能框架!$A$5:$A$37,0))</f>
        <v>报名统计与导出</v>
      </c>
      <c r="I81" s="5" t="str">
        <f>INDEX(优化后功能框架!$F$5:$F$37,MATCH($G81,优化后功能框架!$A$5:$A$37,0))</f>
        <v>成员3</v>
      </c>
      <c r="J81" s="5" t="str">
        <f>INDEX(优化后功能框架!$G$5:$G$37,MATCH($G81,优化后功能框架!$A$5:$A$37,0))</f>
        <v>成员3</v>
      </c>
      <c r="K81" s="7" t="str">
        <f>INDEX(优化后功能框架!$H$5:$H$37,MATCH($G81,优化后功能框架!$A$5:$A$37,0))</f>
        <v>生成器标准页</v>
      </c>
      <c r="L81" s="5" t="str">
        <f>INDEX(优化后功能框架!$I$5:$I$37,MATCH($G81,优化后功能框架!$A$5:$A$37,0))</f>
        <v>L2</v>
      </c>
      <c r="M81" s="5" t="str">
        <f>INDEX(优化后功能框架!$J$5:$J$37,MATCH($G81,优化后功能框架!$A$5:$A$37,0))</f>
        <v>P1</v>
      </c>
      <c r="N81" s="5" t="str">
        <f>INDEX(优化后功能框架!$M$5:$M$37,MATCH($G81,优化后功能框架!$A$5:$A$37,0))</f>
        <v>D8</v>
      </c>
      <c r="O81" s="7"/>
      <c r="P81" s="5"/>
    </row>
    <row r="82" spans="1:16">
      <c r="A82" s="5">
        <v>78</v>
      </c>
      <c r="B82" s="8" t="s">
        <v>793</v>
      </c>
      <c r="C82" s="6" t="s">
        <v>648</v>
      </c>
      <c r="D82" s="6" t="s">
        <v>757</v>
      </c>
      <c r="E82" s="6" t="s">
        <v>794</v>
      </c>
      <c r="F82" s="6" t="s">
        <v>795</v>
      </c>
      <c r="G82" s="40" t="s">
        <v>509</v>
      </c>
      <c r="H82" s="7" t="str">
        <f>INDEX(优化后功能框架!$C$5:$C$37,MATCH($G82,优化后功能框架!$A$5:$A$37,0))</f>
        <v>账号管理</v>
      </c>
      <c r="I82" s="5" t="str">
        <f>INDEX(优化后功能框架!$F$5:$F$37,MATCH($G82,优化后功能框架!$A$5:$A$37,0))</f>
        <v>成员2</v>
      </c>
      <c r="J82" s="5" t="str">
        <f>INDEX(优化后功能框架!$G$5:$G$37,MATCH($G82,优化后功能框架!$A$5:$A$37,0))</f>
        <v>成员2</v>
      </c>
      <c r="K82" s="7" t="str">
        <f>INDEX(优化后功能框架!$H$5:$H$37,MATCH($G82,优化后功能框架!$A$5:$A$37,0))</f>
        <v>生成器标准页</v>
      </c>
      <c r="L82" s="5" t="str">
        <f>INDEX(优化后功能框架!$I$5:$I$37,MATCH($G82,优化后功能框架!$A$5:$A$37,0))</f>
        <v>L2</v>
      </c>
      <c r="M82" s="5" t="str">
        <f>INDEX(优化后功能框架!$J$5:$J$37,MATCH($G82,优化后功能框架!$A$5:$A$37,0))</f>
        <v>P1</v>
      </c>
      <c r="N82" s="5" t="str">
        <f>INDEX(优化后功能框架!$M$5:$M$37,MATCH($G82,优化后功能框架!$A$5:$A$37,0))</f>
        <v>D5</v>
      </c>
      <c r="O82" s="7"/>
      <c r="P82" s="5"/>
    </row>
    <row r="83" spans="1:16">
      <c r="A83" s="5">
        <v>79</v>
      </c>
      <c r="B83" s="8" t="s">
        <v>796</v>
      </c>
      <c r="C83" s="6" t="s">
        <v>648</v>
      </c>
      <c r="D83" s="6" t="s">
        <v>757</v>
      </c>
      <c r="E83" s="6" t="s">
        <v>794</v>
      </c>
      <c r="F83" s="6" t="s">
        <v>797</v>
      </c>
      <c r="G83" s="40" t="s">
        <v>509</v>
      </c>
      <c r="H83" s="7" t="str">
        <f>INDEX(优化后功能框架!$C$5:$C$37,MATCH($G83,优化后功能框架!$A$5:$A$37,0))</f>
        <v>账号管理</v>
      </c>
      <c r="I83" s="5" t="str">
        <f>INDEX(优化后功能框架!$F$5:$F$37,MATCH($G83,优化后功能框架!$A$5:$A$37,0))</f>
        <v>成员2</v>
      </c>
      <c r="J83" s="5" t="str">
        <f>INDEX(优化后功能框架!$G$5:$G$37,MATCH($G83,优化后功能框架!$A$5:$A$37,0))</f>
        <v>成员2</v>
      </c>
      <c r="K83" s="7" t="str">
        <f>INDEX(优化后功能框架!$H$5:$H$37,MATCH($G83,优化后功能框架!$A$5:$A$37,0))</f>
        <v>生成器标准页</v>
      </c>
      <c r="L83" s="5" t="str">
        <f>INDEX(优化后功能框架!$I$5:$I$37,MATCH($G83,优化后功能框架!$A$5:$A$37,0))</f>
        <v>L2</v>
      </c>
      <c r="M83" s="5" t="str">
        <f>INDEX(优化后功能框架!$J$5:$J$37,MATCH($G83,优化后功能框架!$A$5:$A$37,0))</f>
        <v>P1</v>
      </c>
      <c r="N83" s="5" t="str">
        <f>INDEX(优化后功能框架!$M$5:$M$37,MATCH($G83,优化后功能框架!$A$5:$A$37,0))</f>
        <v>D5</v>
      </c>
      <c r="O83" s="7"/>
      <c r="P83" s="5"/>
    </row>
    <row r="84" spans="1:16">
      <c r="A84" s="5">
        <v>80</v>
      </c>
      <c r="B84" s="8" t="s">
        <v>798</v>
      </c>
      <c r="C84" s="6" t="s">
        <v>648</v>
      </c>
      <c r="D84" s="6" t="s">
        <v>757</v>
      </c>
      <c r="E84" s="6" t="s">
        <v>794</v>
      </c>
      <c r="F84" s="6" t="s">
        <v>799</v>
      </c>
      <c r="G84" s="40" t="s">
        <v>509</v>
      </c>
      <c r="H84" s="7" t="str">
        <f>INDEX(优化后功能框架!$C$5:$C$37,MATCH($G84,优化后功能框架!$A$5:$A$37,0))</f>
        <v>账号管理</v>
      </c>
      <c r="I84" s="5" t="str">
        <f>INDEX(优化后功能框架!$F$5:$F$37,MATCH($G84,优化后功能框架!$A$5:$A$37,0))</f>
        <v>成员2</v>
      </c>
      <c r="J84" s="5" t="str">
        <f>INDEX(优化后功能框架!$G$5:$G$37,MATCH($G84,优化后功能框架!$A$5:$A$37,0))</f>
        <v>成员2</v>
      </c>
      <c r="K84" s="7" t="str">
        <f>INDEX(优化后功能框架!$H$5:$H$37,MATCH($G84,优化后功能框架!$A$5:$A$37,0))</f>
        <v>生成器标准页</v>
      </c>
      <c r="L84" s="5" t="str">
        <f>INDEX(优化后功能框架!$I$5:$I$37,MATCH($G84,优化后功能框架!$A$5:$A$37,0))</f>
        <v>L2</v>
      </c>
      <c r="M84" s="5" t="str">
        <f>INDEX(优化后功能框架!$J$5:$J$37,MATCH($G84,优化后功能框架!$A$5:$A$37,0))</f>
        <v>P1</v>
      </c>
      <c r="N84" s="5" t="str">
        <f>INDEX(优化后功能框架!$M$5:$M$37,MATCH($G84,优化后功能框架!$A$5:$A$37,0))</f>
        <v>D5</v>
      </c>
      <c r="O84" s="7"/>
      <c r="P84" s="5"/>
    </row>
    <row r="85" spans="1:16">
      <c r="A85" s="5">
        <v>81</v>
      </c>
      <c r="B85" s="8" t="s">
        <v>800</v>
      </c>
      <c r="C85" s="6" t="s">
        <v>648</v>
      </c>
      <c r="D85" s="6" t="s">
        <v>757</v>
      </c>
      <c r="E85" s="6" t="s">
        <v>801</v>
      </c>
      <c r="F85" s="6" t="s">
        <v>802</v>
      </c>
      <c r="G85" s="40" t="s">
        <v>504</v>
      </c>
      <c r="H85" s="7" t="str">
        <f>INDEX(优化后功能框架!$C$5:$C$37,MATCH($G85,优化后功能框架!$A$5:$A$37,0))</f>
        <v>日志审计</v>
      </c>
      <c r="I85" s="5" t="str">
        <f>INDEX(优化后功能框架!$F$5:$F$37,MATCH($G85,优化后功能框架!$A$5:$A$37,0))</f>
        <v>成员2</v>
      </c>
      <c r="J85" s="5" t="str">
        <f>INDEX(优化后功能框架!$G$5:$G$37,MATCH($G85,优化后功能框架!$A$5:$A$37,0))</f>
        <v>成员2</v>
      </c>
      <c r="K85" s="7" t="str">
        <f>INDEX(优化后功能框架!$H$5:$H$37,MATCH($G85,优化后功能框架!$A$5:$A$37,0))</f>
        <v>生成器标准页</v>
      </c>
      <c r="L85" s="5" t="str">
        <f>INDEX(优化后功能框架!$I$5:$I$37,MATCH($G85,优化后功能框架!$A$5:$A$37,0))</f>
        <v>L2</v>
      </c>
      <c r="M85" s="5" t="str">
        <f>INDEX(优化后功能框架!$J$5:$J$37,MATCH($G85,优化后功能框架!$A$5:$A$37,0))</f>
        <v>P1</v>
      </c>
      <c r="N85" s="5" t="str">
        <f>INDEX(优化后功能框架!$M$5:$M$37,MATCH($G85,优化后功能框架!$A$5:$A$37,0))</f>
        <v>D5</v>
      </c>
      <c r="O85" s="7"/>
      <c r="P85" s="5"/>
    </row>
    <row r="86" spans="1:16">
      <c r="A86" s="5">
        <v>82</v>
      </c>
      <c r="B86" s="8" t="s">
        <v>803</v>
      </c>
      <c r="C86" s="6" t="s">
        <v>648</v>
      </c>
      <c r="D86" s="6" t="s">
        <v>757</v>
      </c>
      <c r="E86" s="6" t="s">
        <v>804</v>
      </c>
      <c r="F86" s="6" t="s">
        <v>805</v>
      </c>
      <c r="G86" s="40" t="s">
        <v>287</v>
      </c>
      <c r="H86" s="7" t="str">
        <f>INDEX(优化后功能框架!$C$5:$C$37,MATCH($G86,优化后功能框架!$A$5:$A$37,0))</f>
        <v>现场身份核验(人脸)</v>
      </c>
      <c r="I86" s="5" t="str">
        <f>INDEX(优化后功能框架!$F$5:$F$37,MATCH($G86,优化后功能框架!$A$5:$A$37,0))</f>
        <v>成员2</v>
      </c>
      <c r="J86" s="5" t="str">
        <f>INDEX(优化后功能框架!$G$5:$G$37,MATCH($G86,优化后功能框架!$A$5:$A$37,0))</f>
        <v>成员6</v>
      </c>
      <c r="K86" s="7" t="str">
        <f>INDEX(优化后功能框架!$H$5:$H$37,MATCH($G86,优化后功能框架!$A$5:$A$37,0))</f>
        <v>生成器标准页</v>
      </c>
      <c r="L86" s="5" t="str">
        <f>INDEX(优化后功能框架!$I$5:$I$37,MATCH($G86,优化后功能框架!$A$5:$A$37,0))</f>
        <v>L3</v>
      </c>
      <c r="M86" s="5" t="str">
        <f>INDEX(优化后功能框架!$J$5:$J$37,MATCH($G86,优化后功能框架!$A$5:$A$37,0))</f>
        <v>P2</v>
      </c>
      <c r="N86" s="5" t="str">
        <f>INDEX(优化后功能框架!$M$5:$M$37,MATCH($G86,优化后功能框架!$A$5:$A$37,0))</f>
        <v>D6</v>
      </c>
      <c r="O86" s="7"/>
      <c r="P86" s="5"/>
    </row>
    <row r="87" spans="1:16" ht="25">
      <c r="A87" s="5">
        <v>83</v>
      </c>
      <c r="B87" s="8" t="s">
        <v>806</v>
      </c>
      <c r="C87" s="6" t="s">
        <v>648</v>
      </c>
      <c r="D87" s="6" t="s">
        <v>592</v>
      </c>
      <c r="E87" s="6" t="s">
        <v>807</v>
      </c>
      <c r="F87" s="6" t="s">
        <v>807</v>
      </c>
      <c r="G87" s="40" t="s">
        <v>591</v>
      </c>
      <c r="H87" s="7" t="str">
        <f>INDEX(优化后功能框架!$C$5:$C$37,MATCH($G87,优化后功能框架!$A$5:$A$37,0))</f>
        <v>赛事直播</v>
      </c>
      <c r="I87" s="5" t="str">
        <f>INDEX(优化后功能框架!$F$5:$F$37,MATCH($G87,优化后功能框架!$A$5:$A$37,0))</f>
        <v>成员5</v>
      </c>
      <c r="J87" s="5" t="str">
        <f>INDEX(优化后功能框架!$G$5:$G$37,MATCH($G87,优化后功能框架!$A$5:$A$37,0))</f>
        <v>成员1</v>
      </c>
      <c r="K87" s="7" t="str">
        <f>INDEX(优化后功能框架!$H$5:$H$37,MATCH($G87,优化后功能框架!$A$5:$A$37,0))</f>
        <v>手写复杂页(录入端发布)</v>
      </c>
      <c r="L87" s="5" t="str">
        <f>INDEX(优化后功能框架!$I$5:$I$37,MATCH($G87,优化后功能框架!$A$5:$A$37,0))</f>
        <v>L3</v>
      </c>
      <c r="M87" s="5" t="str">
        <f>INDEX(优化后功能框架!$J$5:$J$37,MATCH($G87,优化后功能框架!$A$5:$A$37,0))</f>
        <v>P1</v>
      </c>
      <c r="N87" s="5" t="str">
        <f>INDEX(优化后功能框架!$M$5:$M$37,MATCH($G87,优化后功能框架!$A$5:$A$37,0))</f>
        <v>D5</v>
      </c>
      <c r="O87" s="7"/>
      <c r="P87" s="5"/>
    </row>
    <row r="88" spans="1:16">
      <c r="A88" s="5">
        <v>84</v>
      </c>
      <c r="B88" s="8" t="s">
        <v>808</v>
      </c>
      <c r="C88" s="6" t="s">
        <v>648</v>
      </c>
      <c r="D88" s="6" t="s">
        <v>592</v>
      </c>
      <c r="E88" s="6" t="s">
        <v>809</v>
      </c>
      <c r="F88" s="6" t="s">
        <v>810</v>
      </c>
      <c r="G88" s="40" t="s">
        <v>397</v>
      </c>
      <c r="H88" s="7" t="str">
        <f>INDEX(优化后功能框架!$C$5:$C$37,MATCH($G88,优化后功能框架!$A$5:$A$37,0))</f>
        <v>赛况录入</v>
      </c>
      <c r="I88" s="5" t="str">
        <f>INDEX(优化后功能框架!$F$5:$F$37,MATCH($G88,优化后功能框架!$A$5:$A$37,0))</f>
        <v>成员5</v>
      </c>
      <c r="J88" s="5" t="str">
        <f>INDEX(优化后功能框架!$G$5:$G$37,MATCH($G88,优化后功能框架!$A$5:$A$37,0))</f>
        <v>成员1</v>
      </c>
      <c r="K88" s="7" t="str">
        <f>INDEX(优化后功能框架!$H$5:$H$37,MATCH($G88,优化后功能框架!$A$5:$A$37,0))</f>
        <v>手写复杂页(录入端)</v>
      </c>
      <c r="L88" s="5" t="str">
        <f>INDEX(优化后功能框架!$I$5:$I$37,MATCH($G88,优化后功能框架!$A$5:$A$37,0))</f>
        <v>L1</v>
      </c>
      <c r="M88" s="5" t="str">
        <f>INDEX(优化后功能框架!$J$5:$J$37,MATCH($G88,优化后功能框架!$A$5:$A$37,0))</f>
        <v>P0</v>
      </c>
      <c r="N88" s="5" t="str">
        <f>INDEX(优化后功能框架!$M$5:$M$37,MATCH($G88,优化后功能框架!$A$5:$A$37,0))</f>
        <v>D4</v>
      </c>
      <c r="O88" s="7"/>
      <c r="P88" s="5"/>
    </row>
    <row r="89" spans="1:16">
      <c r="A89" s="5">
        <v>85</v>
      </c>
      <c r="B89" s="8" t="s">
        <v>811</v>
      </c>
      <c r="C89" s="6" t="s">
        <v>648</v>
      </c>
      <c r="D89" s="6" t="s">
        <v>592</v>
      </c>
      <c r="E89" s="6" t="s">
        <v>809</v>
      </c>
      <c r="F89" s="6" t="s">
        <v>812</v>
      </c>
      <c r="G89" s="40" t="s">
        <v>397</v>
      </c>
      <c r="H89" s="7" t="str">
        <f>INDEX(优化后功能框架!$C$5:$C$37,MATCH($G89,优化后功能框架!$A$5:$A$37,0))</f>
        <v>赛况录入</v>
      </c>
      <c r="I89" s="5" t="str">
        <f>INDEX(优化后功能框架!$F$5:$F$37,MATCH($G89,优化后功能框架!$A$5:$A$37,0))</f>
        <v>成员5</v>
      </c>
      <c r="J89" s="5" t="str">
        <f>INDEX(优化后功能框架!$G$5:$G$37,MATCH($G89,优化后功能框架!$A$5:$A$37,0))</f>
        <v>成员1</v>
      </c>
      <c r="K89" s="7" t="str">
        <f>INDEX(优化后功能框架!$H$5:$H$37,MATCH($G89,优化后功能框架!$A$5:$A$37,0))</f>
        <v>手写复杂页(录入端)</v>
      </c>
      <c r="L89" s="5" t="str">
        <f>INDEX(优化后功能框架!$I$5:$I$37,MATCH($G89,优化后功能框架!$A$5:$A$37,0))</f>
        <v>L1</v>
      </c>
      <c r="M89" s="5" t="str">
        <f>INDEX(优化后功能框架!$J$5:$J$37,MATCH($G89,优化后功能框架!$A$5:$A$37,0))</f>
        <v>P0</v>
      </c>
      <c r="N89" s="5" t="str">
        <f>INDEX(优化后功能框架!$M$5:$M$37,MATCH($G89,优化后功能框架!$A$5:$A$37,0))</f>
        <v>D4</v>
      </c>
      <c r="O89" s="7"/>
      <c r="P89" s="5"/>
    </row>
    <row r="90" spans="1:16">
      <c r="A90" s="5">
        <v>86</v>
      </c>
      <c r="B90" s="8" t="s">
        <v>813</v>
      </c>
      <c r="C90" s="6" t="s">
        <v>648</v>
      </c>
      <c r="D90" s="6" t="s">
        <v>592</v>
      </c>
      <c r="E90" s="6" t="s">
        <v>809</v>
      </c>
      <c r="F90" s="6" t="s">
        <v>814</v>
      </c>
      <c r="G90" s="40" t="s">
        <v>397</v>
      </c>
      <c r="H90" s="7" t="str">
        <f>INDEX(优化后功能框架!$C$5:$C$37,MATCH($G90,优化后功能框架!$A$5:$A$37,0))</f>
        <v>赛况录入</v>
      </c>
      <c r="I90" s="5" t="str">
        <f>INDEX(优化后功能框架!$F$5:$F$37,MATCH($G90,优化后功能框架!$A$5:$A$37,0))</f>
        <v>成员5</v>
      </c>
      <c r="J90" s="5" t="str">
        <f>INDEX(优化后功能框架!$G$5:$G$37,MATCH($G90,优化后功能框架!$A$5:$A$37,0))</f>
        <v>成员1</v>
      </c>
      <c r="K90" s="7" t="str">
        <f>INDEX(优化后功能框架!$H$5:$H$37,MATCH($G90,优化后功能框架!$A$5:$A$37,0))</f>
        <v>手写复杂页(录入端)</v>
      </c>
      <c r="L90" s="5" t="str">
        <f>INDEX(优化后功能框架!$I$5:$I$37,MATCH($G90,优化后功能框架!$A$5:$A$37,0))</f>
        <v>L1</v>
      </c>
      <c r="M90" s="5" t="str">
        <f>INDEX(优化后功能框架!$J$5:$J$37,MATCH($G90,优化后功能框架!$A$5:$A$37,0))</f>
        <v>P0</v>
      </c>
      <c r="N90" s="5" t="str">
        <f>INDEX(优化后功能框架!$M$5:$M$37,MATCH($G90,优化后功能框架!$A$5:$A$37,0))</f>
        <v>D4</v>
      </c>
      <c r="O90" s="7"/>
      <c r="P90" s="5"/>
    </row>
    <row r="91" spans="1:16">
      <c r="A91" s="5">
        <v>87</v>
      </c>
      <c r="B91" s="8" t="s">
        <v>815</v>
      </c>
      <c r="C91" s="6" t="s">
        <v>648</v>
      </c>
      <c r="D91" s="6" t="s">
        <v>592</v>
      </c>
      <c r="E91" s="6" t="s">
        <v>809</v>
      </c>
      <c r="F91" s="6" t="s">
        <v>816</v>
      </c>
      <c r="G91" s="40" t="s">
        <v>397</v>
      </c>
      <c r="H91" s="7" t="str">
        <f>INDEX(优化后功能框架!$C$5:$C$37,MATCH($G91,优化后功能框架!$A$5:$A$37,0))</f>
        <v>赛况录入</v>
      </c>
      <c r="I91" s="5" t="str">
        <f>INDEX(优化后功能框架!$F$5:$F$37,MATCH($G91,优化后功能框架!$A$5:$A$37,0))</f>
        <v>成员5</v>
      </c>
      <c r="J91" s="5" t="str">
        <f>INDEX(优化后功能框架!$G$5:$G$37,MATCH($G91,优化后功能框架!$A$5:$A$37,0))</f>
        <v>成员1</v>
      </c>
      <c r="K91" s="7" t="str">
        <f>INDEX(优化后功能框架!$H$5:$H$37,MATCH($G91,优化后功能框架!$A$5:$A$37,0))</f>
        <v>手写复杂页(录入端)</v>
      </c>
      <c r="L91" s="5" t="str">
        <f>INDEX(优化后功能框架!$I$5:$I$37,MATCH($G91,优化后功能框架!$A$5:$A$37,0))</f>
        <v>L1</v>
      </c>
      <c r="M91" s="5" t="str">
        <f>INDEX(优化后功能框架!$J$5:$J$37,MATCH($G91,优化后功能框架!$A$5:$A$37,0))</f>
        <v>P0</v>
      </c>
      <c r="N91" s="5" t="str">
        <f>INDEX(优化后功能框架!$M$5:$M$37,MATCH($G91,优化后功能框架!$A$5:$A$37,0))</f>
        <v>D4</v>
      </c>
      <c r="O91" s="7"/>
      <c r="P91" s="5"/>
    </row>
    <row r="92" spans="1:16">
      <c r="A92" s="5">
        <v>88</v>
      </c>
      <c r="B92" s="8" t="s">
        <v>817</v>
      </c>
      <c r="C92" s="6" t="s">
        <v>648</v>
      </c>
      <c r="D92" s="6" t="s">
        <v>592</v>
      </c>
      <c r="E92" s="6" t="s">
        <v>809</v>
      </c>
      <c r="F92" s="6" t="s">
        <v>818</v>
      </c>
      <c r="G92" s="40" t="s">
        <v>397</v>
      </c>
      <c r="H92" s="7" t="str">
        <f>INDEX(优化后功能框架!$C$5:$C$37,MATCH($G92,优化后功能框架!$A$5:$A$37,0))</f>
        <v>赛况录入</v>
      </c>
      <c r="I92" s="5" t="str">
        <f>INDEX(优化后功能框架!$F$5:$F$37,MATCH($G92,优化后功能框架!$A$5:$A$37,0))</f>
        <v>成员5</v>
      </c>
      <c r="J92" s="5" t="str">
        <f>INDEX(优化后功能框架!$G$5:$G$37,MATCH($G92,优化后功能框架!$A$5:$A$37,0))</f>
        <v>成员1</v>
      </c>
      <c r="K92" s="7" t="str">
        <f>INDEX(优化后功能框架!$H$5:$H$37,MATCH($G92,优化后功能框架!$A$5:$A$37,0))</f>
        <v>手写复杂页(录入端)</v>
      </c>
      <c r="L92" s="5" t="str">
        <f>INDEX(优化后功能框架!$I$5:$I$37,MATCH($G92,优化后功能框架!$A$5:$A$37,0))</f>
        <v>L1</v>
      </c>
      <c r="M92" s="5" t="str">
        <f>INDEX(优化后功能框架!$J$5:$J$37,MATCH($G92,优化后功能框架!$A$5:$A$37,0))</f>
        <v>P0</v>
      </c>
      <c r="N92" s="5" t="str">
        <f>INDEX(优化后功能框架!$M$5:$M$37,MATCH($G92,优化后功能框架!$A$5:$A$37,0))</f>
        <v>D4</v>
      </c>
      <c r="O92" s="7"/>
      <c r="P92" s="5"/>
    </row>
    <row r="93" spans="1:16">
      <c r="A93" s="5">
        <v>89</v>
      </c>
      <c r="B93" s="8" t="s">
        <v>819</v>
      </c>
      <c r="C93" s="6" t="s">
        <v>648</v>
      </c>
      <c r="D93" s="6" t="s">
        <v>592</v>
      </c>
      <c r="E93" s="6" t="s">
        <v>809</v>
      </c>
      <c r="F93" s="6" t="s">
        <v>820</v>
      </c>
      <c r="G93" s="40" t="s">
        <v>397</v>
      </c>
      <c r="H93" s="7" t="str">
        <f>INDEX(优化后功能框架!$C$5:$C$37,MATCH($G93,优化后功能框架!$A$5:$A$37,0))</f>
        <v>赛况录入</v>
      </c>
      <c r="I93" s="5" t="str">
        <f>INDEX(优化后功能框架!$F$5:$F$37,MATCH($G93,优化后功能框架!$A$5:$A$37,0))</f>
        <v>成员5</v>
      </c>
      <c r="J93" s="5" t="str">
        <f>INDEX(优化后功能框架!$G$5:$G$37,MATCH($G93,优化后功能框架!$A$5:$A$37,0))</f>
        <v>成员1</v>
      </c>
      <c r="K93" s="7" t="str">
        <f>INDEX(优化后功能框架!$H$5:$H$37,MATCH($G93,优化后功能框架!$A$5:$A$37,0))</f>
        <v>手写复杂页(录入端)</v>
      </c>
      <c r="L93" s="5" t="str">
        <f>INDEX(优化后功能框架!$I$5:$I$37,MATCH($G93,优化后功能框架!$A$5:$A$37,0))</f>
        <v>L1</v>
      </c>
      <c r="M93" s="5" t="str">
        <f>INDEX(优化后功能框架!$J$5:$J$37,MATCH($G93,优化后功能框架!$A$5:$A$37,0))</f>
        <v>P0</v>
      </c>
      <c r="N93" s="5" t="str">
        <f>INDEX(优化后功能框架!$M$5:$M$37,MATCH($G93,优化后功能框架!$A$5:$A$37,0))</f>
        <v>D4</v>
      </c>
      <c r="O93" s="7"/>
      <c r="P93" s="5"/>
    </row>
    <row r="94" spans="1:16">
      <c r="A94" s="5">
        <v>90</v>
      </c>
      <c r="B94" s="8" t="s">
        <v>821</v>
      </c>
      <c r="C94" s="6" t="s">
        <v>648</v>
      </c>
      <c r="D94" s="6" t="s">
        <v>592</v>
      </c>
      <c r="E94" s="6" t="s">
        <v>809</v>
      </c>
      <c r="F94" s="6" t="s">
        <v>822</v>
      </c>
      <c r="G94" s="40" t="s">
        <v>397</v>
      </c>
      <c r="H94" s="7" t="str">
        <f>INDEX(优化后功能框架!$C$5:$C$37,MATCH($G94,优化后功能框架!$A$5:$A$37,0))</f>
        <v>赛况录入</v>
      </c>
      <c r="I94" s="5" t="str">
        <f>INDEX(优化后功能框架!$F$5:$F$37,MATCH($G94,优化后功能框架!$A$5:$A$37,0))</f>
        <v>成员5</v>
      </c>
      <c r="J94" s="5" t="str">
        <f>INDEX(优化后功能框架!$G$5:$G$37,MATCH($G94,优化后功能框架!$A$5:$A$37,0))</f>
        <v>成员1</v>
      </c>
      <c r="K94" s="7" t="str">
        <f>INDEX(优化后功能框架!$H$5:$H$37,MATCH($G94,优化后功能框架!$A$5:$A$37,0))</f>
        <v>手写复杂页(录入端)</v>
      </c>
      <c r="L94" s="5" t="str">
        <f>INDEX(优化后功能框架!$I$5:$I$37,MATCH($G94,优化后功能框架!$A$5:$A$37,0))</f>
        <v>L1</v>
      </c>
      <c r="M94" s="5" t="str">
        <f>INDEX(优化后功能框架!$J$5:$J$37,MATCH($G94,优化后功能框架!$A$5:$A$37,0))</f>
        <v>P0</v>
      </c>
      <c r="N94" s="5" t="str">
        <f>INDEX(优化后功能框架!$M$5:$M$37,MATCH($G94,优化后功能框架!$A$5:$A$37,0))</f>
        <v>D4</v>
      </c>
      <c r="O94" s="7"/>
      <c r="P94" s="5"/>
    </row>
    <row r="95" spans="1:16">
      <c r="A95" s="5">
        <v>91</v>
      </c>
      <c r="B95" s="8" t="s">
        <v>823</v>
      </c>
      <c r="C95" s="6" t="s">
        <v>648</v>
      </c>
      <c r="D95" s="6" t="s">
        <v>592</v>
      </c>
      <c r="E95" s="6" t="s">
        <v>809</v>
      </c>
      <c r="F95" s="6" t="s">
        <v>824</v>
      </c>
      <c r="G95" s="40" t="s">
        <v>397</v>
      </c>
      <c r="H95" s="7" t="str">
        <f>INDEX(优化后功能框架!$C$5:$C$37,MATCH($G95,优化后功能框架!$A$5:$A$37,0))</f>
        <v>赛况录入</v>
      </c>
      <c r="I95" s="5" t="str">
        <f>INDEX(优化后功能框架!$F$5:$F$37,MATCH($G95,优化后功能框架!$A$5:$A$37,0))</f>
        <v>成员5</v>
      </c>
      <c r="J95" s="5" t="str">
        <f>INDEX(优化后功能框架!$G$5:$G$37,MATCH($G95,优化后功能框架!$A$5:$A$37,0))</f>
        <v>成员1</v>
      </c>
      <c r="K95" s="7" t="str">
        <f>INDEX(优化后功能框架!$H$5:$H$37,MATCH($G95,优化后功能框架!$A$5:$A$37,0))</f>
        <v>手写复杂页(录入端)</v>
      </c>
      <c r="L95" s="5" t="str">
        <f>INDEX(优化后功能框架!$I$5:$I$37,MATCH($G95,优化后功能框架!$A$5:$A$37,0))</f>
        <v>L1</v>
      </c>
      <c r="M95" s="5" t="str">
        <f>INDEX(优化后功能框架!$J$5:$J$37,MATCH($G95,优化后功能框架!$A$5:$A$37,0))</f>
        <v>P0</v>
      </c>
      <c r="N95" s="5" t="str">
        <f>INDEX(优化后功能框架!$M$5:$M$37,MATCH($G95,优化后功能框架!$A$5:$A$37,0))</f>
        <v>D4</v>
      </c>
      <c r="O95" s="7"/>
      <c r="P95" s="5"/>
    </row>
    <row r="96" spans="1:16">
      <c r="A96" s="5">
        <v>92</v>
      </c>
      <c r="B96" s="8" t="s">
        <v>825</v>
      </c>
      <c r="C96" s="6" t="s">
        <v>648</v>
      </c>
      <c r="D96" s="6" t="s">
        <v>592</v>
      </c>
      <c r="E96" s="6" t="s">
        <v>809</v>
      </c>
      <c r="F96" s="6" t="s">
        <v>826</v>
      </c>
      <c r="G96" s="40" t="s">
        <v>397</v>
      </c>
      <c r="H96" s="7" t="str">
        <f>INDEX(优化后功能框架!$C$5:$C$37,MATCH($G96,优化后功能框架!$A$5:$A$37,0))</f>
        <v>赛况录入</v>
      </c>
      <c r="I96" s="5" t="str">
        <f>INDEX(优化后功能框架!$F$5:$F$37,MATCH($G96,优化后功能框架!$A$5:$A$37,0))</f>
        <v>成员5</v>
      </c>
      <c r="J96" s="5" t="str">
        <f>INDEX(优化后功能框架!$G$5:$G$37,MATCH($G96,优化后功能框架!$A$5:$A$37,0))</f>
        <v>成员1</v>
      </c>
      <c r="K96" s="7" t="str">
        <f>INDEX(优化后功能框架!$H$5:$H$37,MATCH($G96,优化后功能框架!$A$5:$A$37,0))</f>
        <v>手写复杂页(录入端)</v>
      </c>
      <c r="L96" s="5" t="str">
        <f>INDEX(优化后功能框架!$I$5:$I$37,MATCH($G96,优化后功能框架!$A$5:$A$37,0))</f>
        <v>L1</v>
      </c>
      <c r="M96" s="5" t="str">
        <f>INDEX(优化后功能框架!$J$5:$J$37,MATCH($G96,优化后功能框架!$A$5:$A$37,0))</f>
        <v>P0</v>
      </c>
      <c r="N96" s="5" t="str">
        <f>INDEX(优化后功能框架!$M$5:$M$37,MATCH($G96,优化后功能框架!$A$5:$A$37,0))</f>
        <v>D4</v>
      </c>
      <c r="O96" s="7"/>
      <c r="P96" s="5"/>
    </row>
    <row r="97" spans="1:16">
      <c r="A97" s="5">
        <v>93</v>
      </c>
      <c r="B97" s="8" t="s">
        <v>827</v>
      </c>
      <c r="C97" s="6" t="s">
        <v>648</v>
      </c>
      <c r="D97" s="6" t="s">
        <v>592</v>
      </c>
      <c r="E97" s="6" t="s">
        <v>809</v>
      </c>
      <c r="F97" s="6" t="s">
        <v>828</v>
      </c>
      <c r="G97" s="40" t="s">
        <v>397</v>
      </c>
      <c r="H97" s="7" t="str">
        <f>INDEX(优化后功能框架!$C$5:$C$37,MATCH($G97,优化后功能框架!$A$5:$A$37,0))</f>
        <v>赛况录入</v>
      </c>
      <c r="I97" s="5" t="str">
        <f>INDEX(优化后功能框架!$F$5:$F$37,MATCH($G97,优化后功能框架!$A$5:$A$37,0))</f>
        <v>成员5</v>
      </c>
      <c r="J97" s="5" t="str">
        <f>INDEX(优化后功能框架!$G$5:$G$37,MATCH($G97,优化后功能框架!$A$5:$A$37,0))</f>
        <v>成员1</v>
      </c>
      <c r="K97" s="7" t="str">
        <f>INDEX(优化后功能框架!$H$5:$H$37,MATCH($G97,优化后功能框架!$A$5:$A$37,0))</f>
        <v>手写复杂页(录入端)</v>
      </c>
      <c r="L97" s="5" t="str">
        <f>INDEX(优化后功能框架!$I$5:$I$37,MATCH($G97,优化后功能框架!$A$5:$A$37,0))</f>
        <v>L1</v>
      </c>
      <c r="M97" s="5" t="str">
        <f>INDEX(优化后功能框架!$J$5:$J$37,MATCH($G97,优化后功能框架!$A$5:$A$37,0))</f>
        <v>P0</v>
      </c>
      <c r="N97" s="5" t="str">
        <f>INDEX(优化后功能框架!$M$5:$M$37,MATCH($G97,优化后功能框架!$A$5:$A$37,0))</f>
        <v>D4</v>
      </c>
      <c r="O97" s="7"/>
      <c r="P97" s="5"/>
    </row>
    <row r="98" spans="1:16">
      <c r="A98" s="5">
        <v>94</v>
      </c>
      <c r="B98" s="8" t="s">
        <v>829</v>
      </c>
      <c r="C98" s="6" t="s">
        <v>648</v>
      </c>
      <c r="D98" s="6" t="s">
        <v>592</v>
      </c>
      <c r="E98" s="6" t="s">
        <v>809</v>
      </c>
      <c r="F98" s="6" t="s">
        <v>830</v>
      </c>
      <c r="G98" s="40" t="s">
        <v>397</v>
      </c>
      <c r="H98" s="7" t="str">
        <f>INDEX(优化后功能框架!$C$5:$C$37,MATCH($G98,优化后功能框架!$A$5:$A$37,0))</f>
        <v>赛况录入</v>
      </c>
      <c r="I98" s="5" t="str">
        <f>INDEX(优化后功能框架!$F$5:$F$37,MATCH($G98,优化后功能框架!$A$5:$A$37,0))</f>
        <v>成员5</v>
      </c>
      <c r="J98" s="5" t="str">
        <f>INDEX(优化后功能框架!$G$5:$G$37,MATCH($G98,优化后功能框架!$A$5:$A$37,0))</f>
        <v>成员1</v>
      </c>
      <c r="K98" s="7" t="str">
        <f>INDEX(优化后功能框架!$H$5:$H$37,MATCH($G98,优化后功能框架!$A$5:$A$37,0))</f>
        <v>手写复杂页(录入端)</v>
      </c>
      <c r="L98" s="5" t="str">
        <f>INDEX(优化后功能框架!$I$5:$I$37,MATCH($G98,优化后功能框架!$A$5:$A$37,0))</f>
        <v>L1</v>
      </c>
      <c r="M98" s="5" t="str">
        <f>INDEX(优化后功能框架!$J$5:$J$37,MATCH($G98,优化后功能框架!$A$5:$A$37,0))</f>
        <v>P0</v>
      </c>
      <c r="N98" s="5" t="str">
        <f>INDEX(优化后功能框架!$M$5:$M$37,MATCH($G98,优化后功能框架!$A$5:$A$37,0))</f>
        <v>D4</v>
      </c>
      <c r="O98" s="7"/>
      <c r="P98" s="5"/>
    </row>
    <row r="99" spans="1:16">
      <c r="A99" s="5">
        <v>95</v>
      </c>
      <c r="B99" s="8" t="s">
        <v>831</v>
      </c>
      <c r="C99" s="6" t="s">
        <v>648</v>
      </c>
      <c r="D99" s="6" t="s">
        <v>592</v>
      </c>
      <c r="E99" s="6" t="s">
        <v>809</v>
      </c>
      <c r="F99" s="6" t="s">
        <v>832</v>
      </c>
      <c r="G99" s="40" t="s">
        <v>397</v>
      </c>
      <c r="H99" s="7" t="str">
        <f>INDEX(优化后功能框架!$C$5:$C$37,MATCH($G99,优化后功能框架!$A$5:$A$37,0))</f>
        <v>赛况录入</v>
      </c>
      <c r="I99" s="5" t="str">
        <f>INDEX(优化后功能框架!$F$5:$F$37,MATCH($G99,优化后功能框架!$A$5:$A$37,0))</f>
        <v>成员5</v>
      </c>
      <c r="J99" s="5" t="str">
        <f>INDEX(优化后功能框架!$G$5:$G$37,MATCH($G99,优化后功能框架!$A$5:$A$37,0))</f>
        <v>成员1</v>
      </c>
      <c r="K99" s="7" t="str">
        <f>INDEX(优化后功能框架!$H$5:$H$37,MATCH($G99,优化后功能框架!$A$5:$A$37,0))</f>
        <v>手写复杂页(录入端)</v>
      </c>
      <c r="L99" s="5" t="str">
        <f>INDEX(优化后功能框架!$I$5:$I$37,MATCH($G99,优化后功能框架!$A$5:$A$37,0))</f>
        <v>L1</v>
      </c>
      <c r="M99" s="5" t="str">
        <f>INDEX(优化后功能框架!$J$5:$J$37,MATCH($G99,优化后功能框架!$A$5:$A$37,0))</f>
        <v>P0</v>
      </c>
      <c r="N99" s="5" t="str">
        <f>INDEX(优化后功能框架!$M$5:$M$37,MATCH($G99,优化后功能框架!$A$5:$A$37,0))</f>
        <v>D4</v>
      </c>
      <c r="O99" s="7"/>
      <c r="P99" s="5"/>
    </row>
    <row r="100" spans="1:16">
      <c r="A100" s="5">
        <v>96</v>
      </c>
      <c r="B100" s="8" t="s">
        <v>833</v>
      </c>
      <c r="C100" s="6" t="s">
        <v>648</v>
      </c>
      <c r="D100" s="6" t="s">
        <v>592</v>
      </c>
      <c r="E100" s="6" t="s">
        <v>809</v>
      </c>
      <c r="F100" s="6" t="s">
        <v>834</v>
      </c>
      <c r="G100" s="40" t="s">
        <v>397</v>
      </c>
      <c r="H100" s="7" t="str">
        <f>INDEX(优化后功能框架!$C$5:$C$37,MATCH($G100,优化后功能框架!$A$5:$A$37,0))</f>
        <v>赛况录入</v>
      </c>
      <c r="I100" s="5" t="str">
        <f>INDEX(优化后功能框架!$F$5:$F$37,MATCH($G100,优化后功能框架!$A$5:$A$37,0))</f>
        <v>成员5</v>
      </c>
      <c r="J100" s="5" t="str">
        <f>INDEX(优化后功能框架!$G$5:$G$37,MATCH($G100,优化后功能框架!$A$5:$A$37,0))</f>
        <v>成员1</v>
      </c>
      <c r="K100" s="7" t="str">
        <f>INDEX(优化后功能框架!$H$5:$H$37,MATCH($G100,优化后功能框架!$A$5:$A$37,0))</f>
        <v>手写复杂页(录入端)</v>
      </c>
      <c r="L100" s="5" t="str">
        <f>INDEX(优化后功能框架!$I$5:$I$37,MATCH($G100,优化后功能框架!$A$5:$A$37,0))</f>
        <v>L1</v>
      </c>
      <c r="M100" s="5" t="str">
        <f>INDEX(优化后功能框架!$J$5:$J$37,MATCH($G100,优化后功能框架!$A$5:$A$37,0))</f>
        <v>P0</v>
      </c>
      <c r="N100" s="5" t="str">
        <f>INDEX(优化后功能框架!$M$5:$M$37,MATCH($G100,优化后功能框架!$A$5:$A$37,0))</f>
        <v>D4</v>
      </c>
      <c r="O100" s="7"/>
      <c r="P100" s="5"/>
    </row>
    <row r="101" spans="1:16">
      <c r="A101" s="5">
        <v>97</v>
      </c>
      <c r="B101" s="8" t="s">
        <v>835</v>
      </c>
      <c r="C101" s="6" t="s">
        <v>648</v>
      </c>
      <c r="D101" s="6" t="s">
        <v>592</v>
      </c>
      <c r="E101" s="6" t="s">
        <v>836</v>
      </c>
      <c r="F101" s="6" t="s">
        <v>837</v>
      </c>
      <c r="G101" s="40" t="s">
        <v>588</v>
      </c>
      <c r="H101" s="7" t="str">
        <f>INDEX(优化后功能框架!$C$5:$C$37,MATCH($G101,优化后功能框架!$A$5:$A$37,0))</f>
        <v>赛事文件</v>
      </c>
      <c r="I101" s="5" t="str">
        <f>INDEX(优化后功能框架!$F$5:$F$37,MATCH($G101,优化后功能框架!$A$5:$A$37,0))</f>
        <v>成员5</v>
      </c>
      <c r="J101" s="5" t="str">
        <f>INDEX(优化后功能框架!$G$5:$G$37,MATCH($G101,优化后功能框架!$A$5:$A$37,0))</f>
        <v>成员5</v>
      </c>
      <c r="K101" s="7" t="str">
        <f>INDEX(优化后功能框架!$H$5:$H$37,MATCH($G101,优化后功能框架!$A$5:$A$37,0))</f>
        <v>生成器标准页</v>
      </c>
      <c r="L101" s="5" t="str">
        <f>INDEX(优化后功能框架!$I$5:$I$37,MATCH($G101,优化后功能框架!$A$5:$A$37,0))</f>
        <v>L2</v>
      </c>
      <c r="M101" s="5" t="str">
        <f>INDEX(优化后功能框架!$J$5:$J$37,MATCH($G101,优化后功能框架!$A$5:$A$37,0))</f>
        <v>P2</v>
      </c>
      <c r="N101" s="5" t="str">
        <f>INDEX(优化后功能框架!$M$5:$M$37,MATCH($G101,优化后功能框架!$A$5:$A$37,0))</f>
        <v>D5</v>
      </c>
      <c r="O101" s="7"/>
      <c r="P101" s="5"/>
    </row>
    <row r="102" spans="1:16">
      <c r="A102" s="5">
        <v>98</v>
      </c>
      <c r="B102" s="8" t="s">
        <v>838</v>
      </c>
      <c r="C102" s="6" t="s">
        <v>648</v>
      </c>
      <c r="D102" s="6" t="s">
        <v>592</v>
      </c>
      <c r="E102" s="6" t="s">
        <v>836</v>
      </c>
      <c r="F102" s="6" t="s">
        <v>839</v>
      </c>
      <c r="G102" s="40" t="s">
        <v>588</v>
      </c>
      <c r="H102" s="7" t="str">
        <f>INDEX(优化后功能框架!$C$5:$C$37,MATCH($G102,优化后功能框架!$A$5:$A$37,0))</f>
        <v>赛事文件</v>
      </c>
      <c r="I102" s="5" t="str">
        <f>INDEX(优化后功能框架!$F$5:$F$37,MATCH($G102,优化后功能框架!$A$5:$A$37,0))</f>
        <v>成员5</v>
      </c>
      <c r="J102" s="5" t="str">
        <f>INDEX(优化后功能框架!$G$5:$G$37,MATCH($G102,优化后功能框架!$A$5:$A$37,0))</f>
        <v>成员5</v>
      </c>
      <c r="K102" s="7" t="str">
        <f>INDEX(优化后功能框架!$H$5:$H$37,MATCH($G102,优化后功能框架!$A$5:$A$37,0))</f>
        <v>生成器标准页</v>
      </c>
      <c r="L102" s="5" t="str">
        <f>INDEX(优化后功能框架!$I$5:$I$37,MATCH($G102,优化后功能框架!$A$5:$A$37,0))</f>
        <v>L2</v>
      </c>
      <c r="M102" s="5" t="str">
        <f>INDEX(优化后功能框架!$J$5:$J$37,MATCH($G102,优化后功能框架!$A$5:$A$37,0))</f>
        <v>P2</v>
      </c>
      <c r="N102" s="5" t="str">
        <f>INDEX(优化后功能框架!$M$5:$M$37,MATCH($G102,优化后功能框架!$A$5:$A$37,0))</f>
        <v>D5</v>
      </c>
      <c r="O102" s="7"/>
      <c r="P102" s="5"/>
    </row>
    <row r="103" spans="1:16">
      <c r="A103" s="5">
        <v>99</v>
      </c>
      <c r="B103" s="8" t="s">
        <v>840</v>
      </c>
      <c r="C103" s="6" t="s">
        <v>648</v>
      </c>
      <c r="D103" s="6" t="s">
        <v>592</v>
      </c>
      <c r="E103" s="6" t="s">
        <v>836</v>
      </c>
      <c r="F103" s="6" t="s">
        <v>841</v>
      </c>
      <c r="G103" s="40" t="s">
        <v>588</v>
      </c>
      <c r="H103" s="7" t="str">
        <f>INDEX(优化后功能框架!$C$5:$C$37,MATCH($G103,优化后功能框架!$A$5:$A$37,0))</f>
        <v>赛事文件</v>
      </c>
      <c r="I103" s="5" t="str">
        <f>INDEX(优化后功能框架!$F$5:$F$37,MATCH($G103,优化后功能框架!$A$5:$A$37,0))</f>
        <v>成员5</v>
      </c>
      <c r="J103" s="5" t="str">
        <f>INDEX(优化后功能框架!$G$5:$G$37,MATCH($G103,优化后功能框架!$A$5:$A$37,0))</f>
        <v>成员5</v>
      </c>
      <c r="K103" s="7" t="str">
        <f>INDEX(优化后功能框架!$H$5:$H$37,MATCH($G103,优化后功能框架!$A$5:$A$37,0))</f>
        <v>生成器标准页</v>
      </c>
      <c r="L103" s="5" t="str">
        <f>INDEX(优化后功能框架!$I$5:$I$37,MATCH($G103,优化后功能框架!$A$5:$A$37,0))</f>
        <v>L2</v>
      </c>
      <c r="M103" s="5" t="str">
        <f>INDEX(优化后功能框架!$J$5:$J$37,MATCH($G103,优化后功能框架!$A$5:$A$37,0))</f>
        <v>P2</v>
      </c>
      <c r="N103" s="5" t="str">
        <f>INDEX(优化后功能框架!$M$5:$M$37,MATCH($G103,优化后功能框架!$A$5:$A$37,0))</f>
        <v>D5</v>
      </c>
      <c r="O103" s="7"/>
      <c r="P103" s="5"/>
    </row>
    <row r="104" spans="1:16" ht="25">
      <c r="A104" s="5">
        <v>100</v>
      </c>
      <c r="B104" s="8" t="s">
        <v>842</v>
      </c>
      <c r="C104" s="6" t="s">
        <v>648</v>
      </c>
      <c r="D104" s="6" t="s">
        <v>592</v>
      </c>
      <c r="E104" s="6" t="s">
        <v>843</v>
      </c>
      <c r="F104" s="6" t="s">
        <v>844</v>
      </c>
      <c r="G104" s="40" t="s">
        <v>591</v>
      </c>
      <c r="H104" s="7" t="str">
        <f>INDEX(优化后功能框架!$C$5:$C$37,MATCH($G104,优化后功能框架!$A$5:$A$37,0))</f>
        <v>赛事直播</v>
      </c>
      <c r="I104" s="5" t="str">
        <f>INDEX(优化后功能框架!$F$5:$F$37,MATCH($G104,优化后功能框架!$A$5:$A$37,0))</f>
        <v>成员5</v>
      </c>
      <c r="J104" s="5" t="str">
        <f>INDEX(优化后功能框架!$G$5:$G$37,MATCH($G104,优化后功能框架!$A$5:$A$37,0))</f>
        <v>成员1</v>
      </c>
      <c r="K104" s="7" t="str">
        <f>INDEX(优化后功能框架!$H$5:$H$37,MATCH($G104,优化后功能框架!$A$5:$A$37,0))</f>
        <v>手写复杂页(录入端发布)</v>
      </c>
      <c r="L104" s="5" t="str">
        <f>INDEX(优化后功能框架!$I$5:$I$37,MATCH($G104,优化后功能框架!$A$5:$A$37,0))</f>
        <v>L3</v>
      </c>
      <c r="M104" s="5" t="str">
        <f>INDEX(优化后功能框架!$J$5:$J$37,MATCH($G104,优化后功能框架!$A$5:$A$37,0))</f>
        <v>P1</v>
      </c>
      <c r="N104" s="5" t="str">
        <f>INDEX(优化后功能框架!$M$5:$M$37,MATCH($G104,优化后功能框架!$A$5:$A$37,0))</f>
        <v>D5</v>
      </c>
      <c r="O104" s="7"/>
      <c r="P104" s="5"/>
    </row>
    <row r="105" spans="1:16">
      <c r="A105" s="5">
        <v>101</v>
      </c>
      <c r="B105" s="8" t="s">
        <v>845</v>
      </c>
      <c r="C105" s="6" t="s">
        <v>846</v>
      </c>
      <c r="D105" s="6" t="s">
        <v>847</v>
      </c>
      <c r="E105" s="6" t="s">
        <v>848</v>
      </c>
      <c r="F105" s="6" t="s">
        <v>849</v>
      </c>
      <c r="G105" s="40" t="s">
        <v>613</v>
      </c>
      <c r="H105" s="7" t="str">
        <f>INDEX(优化后功能框架!$C$5:$C$37,MATCH($G105,优化后功能框架!$A$5:$A$37,0))</f>
        <v>内容管理引擎(CMS)</v>
      </c>
      <c r="I105" s="5" t="str">
        <f>INDEX(优化后功能框架!$F$5:$F$37,MATCH($G105,优化后功能框架!$A$5:$A$37,0))</f>
        <v>成员5</v>
      </c>
      <c r="J105" s="5" t="str">
        <f>INDEX(优化后功能框架!$G$5:$G$37,MATCH($G105,优化后功能框架!$A$5:$A$37,0))</f>
        <v>成员6</v>
      </c>
      <c r="K105" s="7" t="str">
        <f>INDEX(优化后功能框架!$H$5:$H$37,MATCH($G105,优化后功能框架!$A$5:$A$37,0))</f>
        <v>套现成模板+表单</v>
      </c>
      <c r="L105" s="5" t="str">
        <f>INDEX(优化后功能框架!$I$5:$I$37,MATCH($G105,优化后功能框架!$A$5:$A$37,0))</f>
        <v>L2</v>
      </c>
      <c r="M105" s="5" t="str">
        <f>INDEX(优化后功能框架!$J$5:$J$37,MATCH($G105,优化后功能框架!$A$5:$A$37,0))</f>
        <v>P1</v>
      </c>
      <c r="N105" s="5" t="str">
        <f>INDEX(优化后功能框架!$M$5:$M$37,MATCH($G105,优化后功能框架!$A$5:$A$37,0))</f>
        <v>D7</v>
      </c>
      <c r="O105" s="7"/>
      <c r="P105" s="5"/>
    </row>
    <row r="106" spans="1:16">
      <c r="A106" s="5">
        <v>102</v>
      </c>
      <c r="B106" s="8" t="s">
        <v>850</v>
      </c>
      <c r="C106" s="6" t="s">
        <v>846</v>
      </c>
      <c r="D106" s="6" t="s">
        <v>847</v>
      </c>
      <c r="E106" s="6" t="s">
        <v>848</v>
      </c>
      <c r="F106" s="6" t="s">
        <v>851</v>
      </c>
      <c r="G106" s="40" t="s">
        <v>613</v>
      </c>
      <c r="H106" s="7" t="str">
        <f>INDEX(优化后功能框架!$C$5:$C$37,MATCH($G106,优化后功能框架!$A$5:$A$37,0))</f>
        <v>内容管理引擎(CMS)</v>
      </c>
      <c r="I106" s="5" t="str">
        <f>INDEX(优化后功能框架!$F$5:$F$37,MATCH($G106,优化后功能框架!$A$5:$A$37,0))</f>
        <v>成员5</v>
      </c>
      <c r="J106" s="5" t="str">
        <f>INDEX(优化后功能框架!$G$5:$G$37,MATCH($G106,优化后功能框架!$A$5:$A$37,0))</f>
        <v>成员6</v>
      </c>
      <c r="K106" s="7" t="str">
        <f>INDEX(优化后功能框架!$H$5:$H$37,MATCH($G106,优化后功能框架!$A$5:$A$37,0))</f>
        <v>套现成模板+表单</v>
      </c>
      <c r="L106" s="5" t="str">
        <f>INDEX(优化后功能框架!$I$5:$I$37,MATCH($G106,优化后功能框架!$A$5:$A$37,0))</f>
        <v>L2</v>
      </c>
      <c r="M106" s="5" t="str">
        <f>INDEX(优化后功能框架!$J$5:$J$37,MATCH($G106,优化后功能框架!$A$5:$A$37,0))</f>
        <v>P1</v>
      </c>
      <c r="N106" s="5" t="str">
        <f>INDEX(优化后功能框架!$M$5:$M$37,MATCH($G106,优化后功能框架!$A$5:$A$37,0))</f>
        <v>D7</v>
      </c>
      <c r="O106" s="7"/>
      <c r="P106" s="5"/>
    </row>
    <row r="107" spans="1:16">
      <c r="A107" s="5">
        <v>103</v>
      </c>
      <c r="B107" s="8" t="s">
        <v>852</v>
      </c>
      <c r="C107" s="6" t="s">
        <v>846</v>
      </c>
      <c r="D107" s="6" t="s">
        <v>847</v>
      </c>
      <c r="E107" s="6" t="s">
        <v>848</v>
      </c>
      <c r="F107" s="6" t="s">
        <v>853</v>
      </c>
      <c r="G107" s="40" t="s">
        <v>613</v>
      </c>
      <c r="H107" s="7" t="str">
        <f>INDEX(优化后功能框架!$C$5:$C$37,MATCH($G107,优化后功能框架!$A$5:$A$37,0))</f>
        <v>内容管理引擎(CMS)</v>
      </c>
      <c r="I107" s="5" t="str">
        <f>INDEX(优化后功能框架!$F$5:$F$37,MATCH($G107,优化后功能框架!$A$5:$A$37,0))</f>
        <v>成员5</v>
      </c>
      <c r="J107" s="5" t="str">
        <f>INDEX(优化后功能框架!$G$5:$G$37,MATCH($G107,优化后功能框架!$A$5:$A$37,0))</f>
        <v>成员6</v>
      </c>
      <c r="K107" s="7" t="str">
        <f>INDEX(优化后功能框架!$H$5:$H$37,MATCH($G107,优化后功能框架!$A$5:$A$37,0))</f>
        <v>套现成模板+表单</v>
      </c>
      <c r="L107" s="5" t="str">
        <f>INDEX(优化后功能框架!$I$5:$I$37,MATCH($G107,优化后功能框架!$A$5:$A$37,0))</f>
        <v>L2</v>
      </c>
      <c r="M107" s="5" t="str">
        <f>INDEX(优化后功能框架!$J$5:$J$37,MATCH($G107,优化后功能框架!$A$5:$A$37,0))</f>
        <v>P1</v>
      </c>
      <c r="N107" s="5" t="str">
        <f>INDEX(优化后功能框架!$M$5:$M$37,MATCH($G107,优化后功能框架!$A$5:$A$37,0))</f>
        <v>D7</v>
      </c>
      <c r="O107" s="7"/>
      <c r="P107" s="5"/>
    </row>
    <row r="108" spans="1:16">
      <c r="A108" s="5">
        <v>104</v>
      </c>
      <c r="B108" s="8" t="s">
        <v>854</v>
      </c>
      <c r="C108" s="6" t="s">
        <v>846</v>
      </c>
      <c r="D108" s="6" t="s">
        <v>847</v>
      </c>
      <c r="E108" s="6" t="s">
        <v>848</v>
      </c>
      <c r="F108" s="6" t="s">
        <v>855</v>
      </c>
      <c r="G108" s="40" t="s">
        <v>613</v>
      </c>
      <c r="H108" s="7" t="str">
        <f>INDEX(优化后功能框架!$C$5:$C$37,MATCH($G108,优化后功能框架!$A$5:$A$37,0))</f>
        <v>内容管理引擎(CMS)</v>
      </c>
      <c r="I108" s="5" t="str">
        <f>INDEX(优化后功能框架!$F$5:$F$37,MATCH($G108,优化后功能框架!$A$5:$A$37,0))</f>
        <v>成员5</v>
      </c>
      <c r="J108" s="5" t="str">
        <f>INDEX(优化后功能框架!$G$5:$G$37,MATCH($G108,优化后功能框架!$A$5:$A$37,0))</f>
        <v>成员6</v>
      </c>
      <c r="K108" s="7" t="str">
        <f>INDEX(优化后功能框架!$H$5:$H$37,MATCH($G108,优化后功能框架!$A$5:$A$37,0))</f>
        <v>套现成模板+表单</v>
      </c>
      <c r="L108" s="5" t="str">
        <f>INDEX(优化后功能框架!$I$5:$I$37,MATCH($G108,优化后功能框架!$A$5:$A$37,0))</f>
        <v>L2</v>
      </c>
      <c r="M108" s="5" t="str">
        <f>INDEX(优化后功能框架!$J$5:$J$37,MATCH($G108,优化后功能框架!$A$5:$A$37,0))</f>
        <v>P1</v>
      </c>
      <c r="N108" s="5" t="str">
        <f>INDEX(优化后功能框架!$M$5:$M$37,MATCH($G108,优化后功能框架!$A$5:$A$37,0))</f>
        <v>D7</v>
      </c>
      <c r="O108" s="7"/>
      <c r="P108" s="5"/>
    </row>
    <row r="109" spans="1:16">
      <c r="A109" s="5">
        <v>105</v>
      </c>
      <c r="B109" s="8" t="s">
        <v>856</v>
      </c>
      <c r="C109" s="6" t="s">
        <v>846</v>
      </c>
      <c r="D109" s="6" t="s">
        <v>847</v>
      </c>
      <c r="E109" s="6" t="s">
        <v>848</v>
      </c>
      <c r="F109" s="6" t="s">
        <v>857</v>
      </c>
      <c r="G109" s="40" t="s">
        <v>613</v>
      </c>
      <c r="H109" s="7" t="str">
        <f>INDEX(优化后功能框架!$C$5:$C$37,MATCH($G109,优化后功能框架!$A$5:$A$37,0))</f>
        <v>内容管理引擎(CMS)</v>
      </c>
      <c r="I109" s="5" t="str">
        <f>INDEX(优化后功能框架!$F$5:$F$37,MATCH($G109,优化后功能框架!$A$5:$A$37,0))</f>
        <v>成员5</v>
      </c>
      <c r="J109" s="5" t="str">
        <f>INDEX(优化后功能框架!$G$5:$G$37,MATCH($G109,优化后功能框架!$A$5:$A$37,0))</f>
        <v>成员6</v>
      </c>
      <c r="K109" s="7" t="str">
        <f>INDEX(优化后功能框架!$H$5:$H$37,MATCH($G109,优化后功能框架!$A$5:$A$37,0))</f>
        <v>套现成模板+表单</v>
      </c>
      <c r="L109" s="5" t="str">
        <f>INDEX(优化后功能框架!$I$5:$I$37,MATCH($G109,优化后功能框架!$A$5:$A$37,0))</f>
        <v>L2</v>
      </c>
      <c r="M109" s="5" t="str">
        <f>INDEX(优化后功能框架!$J$5:$J$37,MATCH($G109,优化后功能框架!$A$5:$A$37,0))</f>
        <v>P1</v>
      </c>
      <c r="N109" s="5" t="str">
        <f>INDEX(优化后功能框架!$M$5:$M$37,MATCH($G109,优化后功能框架!$A$5:$A$37,0))</f>
        <v>D7</v>
      </c>
      <c r="O109" s="7"/>
      <c r="P109" s="5"/>
    </row>
    <row r="110" spans="1:16">
      <c r="A110" s="5">
        <v>106</v>
      </c>
      <c r="B110" s="8" t="s">
        <v>858</v>
      </c>
      <c r="C110" s="6" t="s">
        <v>846</v>
      </c>
      <c r="D110" s="6" t="s">
        <v>847</v>
      </c>
      <c r="E110" s="6" t="s">
        <v>859</v>
      </c>
      <c r="F110" s="6" t="s">
        <v>860</v>
      </c>
      <c r="G110" s="40" t="s">
        <v>613</v>
      </c>
      <c r="H110" s="7" t="str">
        <f>INDEX(优化后功能框架!$C$5:$C$37,MATCH($G110,优化后功能框架!$A$5:$A$37,0))</f>
        <v>内容管理引擎(CMS)</v>
      </c>
      <c r="I110" s="5" t="str">
        <f>INDEX(优化后功能框架!$F$5:$F$37,MATCH($G110,优化后功能框架!$A$5:$A$37,0))</f>
        <v>成员5</v>
      </c>
      <c r="J110" s="5" t="str">
        <f>INDEX(优化后功能框架!$G$5:$G$37,MATCH($G110,优化后功能框架!$A$5:$A$37,0))</f>
        <v>成员6</v>
      </c>
      <c r="K110" s="7" t="str">
        <f>INDEX(优化后功能框架!$H$5:$H$37,MATCH($G110,优化后功能框架!$A$5:$A$37,0))</f>
        <v>套现成模板+表单</v>
      </c>
      <c r="L110" s="5" t="str">
        <f>INDEX(优化后功能框架!$I$5:$I$37,MATCH($G110,优化后功能框架!$A$5:$A$37,0))</f>
        <v>L2</v>
      </c>
      <c r="M110" s="5" t="str">
        <f>INDEX(优化后功能框架!$J$5:$J$37,MATCH($G110,优化后功能框架!$A$5:$A$37,0))</f>
        <v>P1</v>
      </c>
      <c r="N110" s="5" t="str">
        <f>INDEX(优化后功能框架!$M$5:$M$37,MATCH($G110,优化后功能框架!$A$5:$A$37,0))</f>
        <v>D7</v>
      </c>
      <c r="O110" s="7"/>
      <c r="P110" s="5"/>
    </row>
    <row r="111" spans="1:16">
      <c r="A111" s="5">
        <v>107</v>
      </c>
      <c r="B111" s="8" t="s">
        <v>861</v>
      </c>
      <c r="C111" s="6" t="s">
        <v>846</v>
      </c>
      <c r="D111" s="6" t="s">
        <v>847</v>
      </c>
      <c r="E111" s="6" t="s">
        <v>859</v>
      </c>
      <c r="F111" s="6" t="s">
        <v>862</v>
      </c>
      <c r="G111" s="40" t="s">
        <v>613</v>
      </c>
      <c r="H111" s="7" t="str">
        <f>INDEX(优化后功能框架!$C$5:$C$37,MATCH($G111,优化后功能框架!$A$5:$A$37,0))</f>
        <v>内容管理引擎(CMS)</v>
      </c>
      <c r="I111" s="5" t="str">
        <f>INDEX(优化后功能框架!$F$5:$F$37,MATCH($G111,优化后功能框架!$A$5:$A$37,0))</f>
        <v>成员5</v>
      </c>
      <c r="J111" s="5" t="str">
        <f>INDEX(优化后功能框架!$G$5:$G$37,MATCH($G111,优化后功能框架!$A$5:$A$37,0))</f>
        <v>成员6</v>
      </c>
      <c r="K111" s="7" t="str">
        <f>INDEX(优化后功能框架!$H$5:$H$37,MATCH($G111,优化后功能框架!$A$5:$A$37,0))</f>
        <v>套现成模板+表单</v>
      </c>
      <c r="L111" s="5" t="str">
        <f>INDEX(优化后功能框架!$I$5:$I$37,MATCH($G111,优化后功能框架!$A$5:$A$37,0))</f>
        <v>L2</v>
      </c>
      <c r="M111" s="5" t="str">
        <f>INDEX(优化后功能框架!$J$5:$J$37,MATCH($G111,优化后功能框架!$A$5:$A$37,0))</f>
        <v>P1</v>
      </c>
      <c r="N111" s="5" t="str">
        <f>INDEX(优化后功能框架!$M$5:$M$37,MATCH($G111,优化后功能框架!$A$5:$A$37,0))</f>
        <v>D7</v>
      </c>
      <c r="O111" s="7"/>
      <c r="P111" s="5"/>
    </row>
    <row r="112" spans="1:16">
      <c r="A112" s="5">
        <v>108</v>
      </c>
      <c r="B112" s="8" t="s">
        <v>863</v>
      </c>
      <c r="C112" s="6" t="s">
        <v>846</v>
      </c>
      <c r="D112" s="6" t="s">
        <v>847</v>
      </c>
      <c r="E112" s="6" t="s">
        <v>859</v>
      </c>
      <c r="F112" s="6" t="s">
        <v>864</v>
      </c>
      <c r="G112" s="40" t="s">
        <v>613</v>
      </c>
      <c r="H112" s="7" t="str">
        <f>INDEX(优化后功能框架!$C$5:$C$37,MATCH($G112,优化后功能框架!$A$5:$A$37,0))</f>
        <v>内容管理引擎(CMS)</v>
      </c>
      <c r="I112" s="5" t="str">
        <f>INDEX(优化后功能框架!$F$5:$F$37,MATCH($G112,优化后功能框架!$A$5:$A$37,0))</f>
        <v>成员5</v>
      </c>
      <c r="J112" s="5" t="str">
        <f>INDEX(优化后功能框架!$G$5:$G$37,MATCH($G112,优化后功能框架!$A$5:$A$37,0))</f>
        <v>成员6</v>
      </c>
      <c r="K112" s="7" t="str">
        <f>INDEX(优化后功能框架!$H$5:$H$37,MATCH($G112,优化后功能框架!$A$5:$A$37,0))</f>
        <v>套现成模板+表单</v>
      </c>
      <c r="L112" s="5" t="str">
        <f>INDEX(优化后功能框架!$I$5:$I$37,MATCH($G112,优化后功能框架!$A$5:$A$37,0))</f>
        <v>L2</v>
      </c>
      <c r="M112" s="5" t="str">
        <f>INDEX(优化后功能框架!$J$5:$J$37,MATCH($G112,优化后功能框架!$A$5:$A$37,0))</f>
        <v>P1</v>
      </c>
      <c r="N112" s="5" t="str">
        <f>INDEX(优化后功能框架!$M$5:$M$37,MATCH($G112,优化后功能框架!$A$5:$A$37,0))</f>
        <v>D7</v>
      </c>
      <c r="O112" s="7"/>
      <c r="P112" s="5"/>
    </row>
    <row r="113" spans="1:16">
      <c r="A113" s="5">
        <v>109</v>
      </c>
      <c r="B113" s="8" t="s">
        <v>865</v>
      </c>
      <c r="C113" s="6" t="s">
        <v>846</v>
      </c>
      <c r="D113" s="6" t="s">
        <v>847</v>
      </c>
      <c r="E113" s="6" t="s">
        <v>859</v>
      </c>
      <c r="F113" s="6" t="s">
        <v>866</v>
      </c>
      <c r="G113" s="40" t="s">
        <v>613</v>
      </c>
      <c r="H113" s="7" t="str">
        <f>INDEX(优化后功能框架!$C$5:$C$37,MATCH($G113,优化后功能框架!$A$5:$A$37,0))</f>
        <v>内容管理引擎(CMS)</v>
      </c>
      <c r="I113" s="5" t="str">
        <f>INDEX(优化后功能框架!$F$5:$F$37,MATCH($G113,优化后功能框架!$A$5:$A$37,0))</f>
        <v>成员5</v>
      </c>
      <c r="J113" s="5" t="str">
        <f>INDEX(优化后功能框架!$G$5:$G$37,MATCH($G113,优化后功能框架!$A$5:$A$37,0))</f>
        <v>成员6</v>
      </c>
      <c r="K113" s="7" t="str">
        <f>INDEX(优化后功能框架!$H$5:$H$37,MATCH($G113,优化后功能框架!$A$5:$A$37,0))</f>
        <v>套现成模板+表单</v>
      </c>
      <c r="L113" s="5" t="str">
        <f>INDEX(优化后功能框架!$I$5:$I$37,MATCH($G113,优化后功能框架!$A$5:$A$37,0))</f>
        <v>L2</v>
      </c>
      <c r="M113" s="5" t="str">
        <f>INDEX(优化后功能框架!$J$5:$J$37,MATCH($G113,优化后功能框架!$A$5:$A$37,0))</f>
        <v>P1</v>
      </c>
      <c r="N113" s="5" t="str">
        <f>INDEX(优化后功能框架!$M$5:$M$37,MATCH($G113,优化后功能框架!$A$5:$A$37,0))</f>
        <v>D7</v>
      </c>
      <c r="O113" s="7"/>
      <c r="P113" s="5"/>
    </row>
    <row r="114" spans="1:16">
      <c r="A114" s="5">
        <v>110</v>
      </c>
      <c r="B114" s="8" t="s">
        <v>867</v>
      </c>
      <c r="C114" s="6" t="s">
        <v>846</v>
      </c>
      <c r="D114" s="6" t="s">
        <v>847</v>
      </c>
      <c r="E114" s="6" t="s">
        <v>859</v>
      </c>
      <c r="F114" s="6" t="s">
        <v>868</v>
      </c>
      <c r="G114" s="40" t="s">
        <v>613</v>
      </c>
      <c r="H114" s="7" t="str">
        <f>INDEX(优化后功能框架!$C$5:$C$37,MATCH($G114,优化后功能框架!$A$5:$A$37,0))</f>
        <v>内容管理引擎(CMS)</v>
      </c>
      <c r="I114" s="5" t="str">
        <f>INDEX(优化后功能框架!$F$5:$F$37,MATCH($G114,优化后功能框架!$A$5:$A$37,0))</f>
        <v>成员5</v>
      </c>
      <c r="J114" s="5" t="str">
        <f>INDEX(优化后功能框架!$G$5:$G$37,MATCH($G114,优化后功能框架!$A$5:$A$37,0))</f>
        <v>成员6</v>
      </c>
      <c r="K114" s="7" t="str">
        <f>INDEX(优化后功能框架!$H$5:$H$37,MATCH($G114,优化后功能框架!$A$5:$A$37,0))</f>
        <v>套现成模板+表单</v>
      </c>
      <c r="L114" s="5" t="str">
        <f>INDEX(优化后功能框架!$I$5:$I$37,MATCH($G114,优化后功能框架!$A$5:$A$37,0))</f>
        <v>L2</v>
      </c>
      <c r="M114" s="5" t="str">
        <f>INDEX(优化后功能框架!$J$5:$J$37,MATCH($G114,优化后功能框架!$A$5:$A$37,0))</f>
        <v>P1</v>
      </c>
      <c r="N114" s="5" t="str">
        <f>INDEX(优化后功能框架!$M$5:$M$37,MATCH($G114,优化后功能框架!$A$5:$A$37,0))</f>
        <v>D7</v>
      </c>
      <c r="O114" s="7"/>
      <c r="P114" s="5"/>
    </row>
    <row r="115" spans="1:16">
      <c r="A115" s="5">
        <v>111</v>
      </c>
      <c r="B115" s="8" t="s">
        <v>869</v>
      </c>
      <c r="C115" s="6" t="s">
        <v>846</v>
      </c>
      <c r="D115" s="6" t="s">
        <v>847</v>
      </c>
      <c r="E115" s="6" t="s">
        <v>870</v>
      </c>
      <c r="F115" s="6" t="s">
        <v>871</v>
      </c>
      <c r="G115" s="40" t="s">
        <v>392</v>
      </c>
      <c r="H115" s="7" t="str">
        <f>INDEX(优化后功能框架!$C$5:$C$37,MATCH($G115,优化后功能框架!$A$5:$A$37,0))</f>
        <v>对阵编排</v>
      </c>
      <c r="I115" s="5" t="str">
        <f>INDEX(优化后功能框架!$F$5:$F$37,MATCH($G115,优化后功能框架!$A$5:$A$37,0))</f>
        <v>成员5</v>
      </c>
      <c r="J115" s="5" t="str">
        <f>INDEX(优化后功能框架!$G$5:$G$37,MATCH($G115,优化后功能框架!$A$5:$A$37,0))</f>
        <v>成员1</v>
      </c>
      <c r="K115" s="7" t="str">
        <f>INDEX(优化后功能框架!$H$5:$H$37,MATCH($G115,优化后功能框架!$A$5:$A$37,0))</f>
        <v>手写复杂页(录入端)</v>
      </c>
      <c r="L115" s="5" t="str">
        <f>INDEX(优化后功能框架!$I$5:$I$37,MATCH($G115,优化后功能框架!$A$5:$A$37,0))</f>
        <v>L1</v>
      </c>
      <c r="M115" s="5" t="str">
        <f>INDEX(优化后功能框架!$J$5:$J$37,MATCH($G115,优化后功能框架!$A$5:$A$37,0))</f>
        <v>P0</v>
      </c>
      <c r="N115" s="5" t="str">
        <f>INDEX(优化后功能框架!$M$5:$M$37,MATCH($G115,优化后功能框架!$A$5:$A$37,0))</f>
        <v>D2</v>
      </c>
      <c r="O115" s="7"/>
      <c r="P115" s="5"/>
    </row>
    <row r="116" spans="1:16">
      <c r="A116" s="5">
        <v>112</v>
      </c>
      <c r="B116" s="8" t="s">
        <v>872</v>
      </c>
      <c r="C116" s="6" t="s">
        <v>846</v>
      </c>
      <c r="D116" s="6" t="s">
        <v>847</v>
      </c>
      <c r="E116" s="6" t="s">
        <v>870</v>
      </c>
      <c r="F116" s="6" t="s">
        <v>873</v>
      </c>
      <c r="G116" s="40" t="s">
        <v>392</v>
      </c>
      <c r="H116" s="7" t="str">
        <f>INDEX(优化后功能框架!$C$5:$C$37,MATCH($G116,优化后功能框架!$A$5:$A$37,0))</f>
        <v>对阵编排</v>
      </c>
      <c r="I116" s="5" t="str">
        <f>INDEX(优化后功能框架!$F$5:$F$37,MATCH($G116,优化后功能框架!$A$5:$A$37,0))</f>
        <v>成员5</v>
      </c>
      <c r="J116" s="5" t="str">
        <f>INDEX(优化后功能框架!$G$5:$G$37,MATCH($G116,优化后功能框架!$A$5:$A$37,0))</f>
        <v>成员1</v>
      </c>
      <c r="K116" s="7" t="str">
        <f>INDEX(优化后功能框架!$H$5:$H$37,MATCH($G116,优化后功能框架!$A$5:$A$37,0))</f>
        <v>手写复杂页(录入端)</v>
      </c>
      <c r="L116" s="5" t="str">
        <f>INDEX(优化后功能框架!$I$5:$I$37,MATCH($G116,优化后功能框架!$A$5:$A$37,0))</f>
        <v>L1</v>
      </c>
      <c r="M116" s="5" t="str">
        <f>INDEX(优化后功能框架!$J$5:$J$37,MATCH($G116,优化后功能框架!$A$5:$A$37,0))</f>
        <v>P0</v>
      </c>
      <c r="N116" s="5" t="str">
        <f>INDEX(优化后功能框架!$M$5:$M$37,MATCH($G116,优化后功能框架!$A$5:$A$37,0))</f>
        <v>D2</v>
      </c>
      <c r="O116" s="7"/>
      <c r="P116" s="5"/>
    </row>
    <row r="117" spans="1:16">
      <c r="A117" s="5">
        <v>113</v>
      </c>
      <c r="B117" s="8" t="s">
        <v>874</v>
      </c>
      <c r="C117" s="6" t="s">
        <v>846</v>
      </c>
      <c r="D117" s="6" t="s">
        <v>847</v>
      </c>
      <c r="E117" s="6" t="s">
        <v>870</v>
      </c>
      <c r="F117" s="6" t="s">
        <v>875</v>
      </c>
      <c r="G117" s="40" t="s">
        <v>392</v>
      </c>
      <c r="H117" s="7" t="str">
        <f>INDEX(优化后功能框架!$C$5:$C$37,MATCH($G117,优化后功能框架!$A$5:$A$37,0))</f>
        <v>对阵编排</v>
      </c>
      <c r="I117" s="5" t="str">
        <f>INDEX(优化后功能框架!$F$5:$F$37,MATCH($G117,优化后功能框架!$A$5:$A$37,0))</f>
        <v>成员5</v>
      </c>
      <c r="J117" s="5" t="str">
        <f>INDEX(优化后功能框架!$G$5:$G$37,MATCH($G117,优化后功能框架!$A$5:$A$37,0))</f>
        <v>成员1</v>
      </c>
      <c r="K117" s="7" t="str">
        <f>INDEX(优化后功能框架!$H$5:$H$37,MATCH($G117,优化后功能框架!$A$5:$A$37,0))</f>
        <v>手写复杂页(录入端)</v>
      </c>
      <c r="L117" s="5" t="str">
        <f>INDEX(优化后功能框架!$I$5:$I$37,MATCH($G117,优化后功能框架!$A$5:$A$37,0))</f>
        <v>L1</v>
      </c>
      <c r="M117" s="5" t="str">
        <f>INDEX(优化后功能框架!$J$5:$J$37,MATCH($G117,优化后功能框架!$A$5:$A$37,0))</f>
        <v>P0</v>
      </c>
      <c r="N117" s="5" t="str">
        <f>INDEX(优化后功能框架!$M$5:$M$37,MATCH($G117,优化后功能框架!$A$5:$A$37,0))</f>
        <v>D2</v>
      </c>
      <c r="O117" s="7"/>
      <c r="P117" s="5"/>
    </row>
    <row r="118" spans="1:16">
      <c r="A118" s="5">
        <v>114</v>
      </c>
      <c r="B118" s="8" t="s">
        <v>876</v>
      </c>
      <c r="C118" s="6" t="s">
        <v>846</v>
      </c>
      <c r="D118" s="6" t="s">
        <v>847</v>
      </c>
      <c r="E118" s="6" t="s">
        <v>870</v>
      </c>
      <c r="F118" s="6" t="s">
        <v>877</v>
      </c>
      <c r="G118" s="40" t="s">
        <v>392</v>
      </c>
      <c r="H118" s="7" t="str">
        <f>INDEX(优化后功能框架!$C$5:$C$37,MATCH($G118,优化后功能框架!$A$5:$A$37,0))</f>
        <v>对阵编排</v>
      </c>
      <c r="I118" s="5" t="str">
        <f>INDEX(优化后功能框架!$F$5:$F$37,MATCH($G118,优化后功能框架!$A$5:$A$37,0))</f>
        <v>成员5</v>
      </c>
      <c r="J118" s="5" t="str">
        <f>INDEX(优化后功能框架!$G$5:$G$37,MATCH($G118,优化后功能框架!$A$5:$A$37,0))</f>
        <v>成员1</v>
      </c>
      <c r="K118" s="7" t="str">
        <f>INDEX(优化后功能框架!$H$5:$H$37,MATCH($G118,优化后功能框架!$A$5:$A$37,0))</f>
        <v>手写复杂页(录入端)</v>
      </c>
      <c r="L118" s="5" t="str">
        <f>INDEX(优化后功能框架!$I$5:$I$37,MATCH($G118,优化后功能框架!$A$5:$A$37,0))</f>
        <v>L1</v>
      </c>
      <c r="M118" s="5" t="str">
        <f>INDEX(优化后功能框架!$J$5:$J$37,MATCH($G118,优化后功能框架!$A$5:$A$37,0))</f>
        <v>P0</v>
      </c>
      <c r="N118" s="5" t="str">
        <f>INDEX(优化后功能框架!$M$5:$M$37,MATCH($G118,优化后功能框架!$A$5:$A$37,0))</f>
        <v>D2</v>
      </c>
      <c r="O118" s="7"/>
      <c r="P118" s="5"/>
    </row>
    <row r="119" spans="1:16">
      <c r="A119" s="5">
        <v>115</v>
      </c>
      <c r="B119" s="8" t="s">
        <v>878</v>
      </c>
      <c r="C119" s="6" t="s">
        <v>846</v>
      </c>
      <c r="D119" s="6" t="s">
        <v>847</v>
      </c>
      <c r="E119" s="6" t="s">
        <v>870</v>
      </c>
      <c r="F119" s="6" t="s">
        <v>879</v>
      </c>
      <c r="G119" s="40" t="s">
        <v>392</v>
      </c>
      <c r="H119" s="7" t="str">
        <f>INDEX(优化后功能框架!$C$5:$C$37,MATCH($G119,优化后功能框架!$A$5:$A$37,0))</f>
        <v>对阵编排</v>
      </c>
      <c r="I119" s="5" t="str">
        <f>INDEX(优化后功能框架!$F$5:$F$37,MATCH($G119,优化后功能框架!$A$5:$A$37,0))</f>
        <v>成员5</v>
      </c>
      <c r="J119" s="5" t="str">
        <f>INDEX(优化后功能框架!$G$5:$G$37,MATCH($G119,优化后功能框架!$A$5:$A$37,0))</f>
        <v>成员1</v>
      </c>
      <c r="K119" s="7" t="str">
        <f>INDEX(优化后功能框架!$H$5:$H$37,MATCH($G119,优化后功能框架!$A$5:$A$37,0))</f>
        <v>手写复杂页(录入端)</v>
      </c>
      <c r="L119" s="5" t="str">
        <f>INDEX(优化后功能框架!$I$5:$I$37,MATCH($G119,优化后功能框架!$A$5:$A$37,0))</f>
        <v>L1</v>
      </c>
      <c r="M119" s="5" t="str">
        <f>INDEX(优化后功能框架!$J$5:$J$37,MATCH($G119,优化后功能框架!$A$5:$A$37,0))</f>
        <v>P0</v>
      </c>
      <c r="N119" s="5" t="str">
        <f>INDEX(优化后功能框架!$M$5:$M$37,MATCH($G119,优化后功能框架!$A$5:$A$37,0))</f>
        <v>D2</v>
      </c>
      <c r="O119" s="7"/>
      <c r="P119" s="5"/>
    </row>
    <row r="120" spans="1:16">
      <c r="A120" s="5">
        <v>116</v>
      </c>
      <c r="B120" s="8" t="s">
        <v>880</v>
      </c>
      <c r="C120" s="6" t="s">
        <v>846</v>
      </c>
      <c r="D120" s="6" t="s">
        <v>847</v>
      </c>
      <c r="E120" s="6" t="s">
        <v>870</v>
      </c>
      <c r="F120" s="6" t="s">
        <v>881</v>
      </c>
      <c r="G120" s="40" t="s">
        <v>392</v>
      </c>
      <c r="H120" s="7" t="str">
        <f>INDEX(优化后功能框架!$C$5:$C$37,MATCH($G120,优化后功能框架!$A$5:$A$37,0))</f>
        <v>对阵编排</v>
      </c>
      <c r="I120" s="5" t="str">
        <f>INDEX(优化后功能框架!$F$5:$F$37,MATCH($G120,优化后功能框架!$A$5:$A$37,0))</f>
        <v>成员5</v>
      </c>
      <c r="J120" s="5" t="str">
        <f>INDEX(优化后功能框架!$G$5:$G$37,MATCH($G120,优化后功能框架!$A$5:$A$37,0))</f>
        <v>成员1</v>
      </c>
      <c r="K120" s="7" t="str">
        <f>INDEX(优化后功能框架!$H$5:$H$37,MATCH($G120,优化后功能框架!$A$5:$A$37,0))</f>
        <v>手写复杂页(录入端)</v>
      </c>
      <c r="L120" s="5" t="str">
        <f>INDEX(优化后功能框架!$I$5:$I$37,MATCH($G120,优化后功能框架!$A$5:$A$37,0))</f>
        <v>L1</v>
      </c>
      <c r="M120" s="5" t="str">
        <f>INDEX(优化后功能框架!$J$5:$J$37,MATCH($G120,优化后功能框架!$A$5:$A$37,0))</f>
        <v>P0</v>
      </c>
      <c r="N120" s="5" t="str">
        <f>INDEX(优化后功能框架!$M$5:$M$37,MATCH($G120,优化后功能框架!$A$5:$A$37,0))</f>
        <v>D2</v>
      </c>
      <c r="O120" s="7"/>
      <c r="P120" s="5"/>
    </row>
    <row r="121" spans="1:16">
      <c r="A121" s="5">
        <v>117</v>
      </c>
      <c r="B121" s="8" t="s">
        <v>882</v>
      </c>
      <c r="C121" s="6" t="s">
        <v>846</v>
      </c>
      <c r="D121" s="6" t="s">
        <v>847</v>
      </c>
      <c r="E121" s="6" t="s">
        <v>883</v>
      </c>
      <c r="F121" s="6" t="s">
        <v>884</v>
      </c>
      <c r="G121" s="40" t="s">
        <v>414</v>
      </c>
      <c r="H121" s="7" t="str">
        <f>INDEX(优化后功能框架!$C$5:$C$37,MATCH($G121,优化后功能框架!$A$5:$A$37,0))</f>
        <v>成绩与榜单</v>
      </c>
      <c r="I121" s="5" t="str">
        <f>INDEX(优化后功能框架!$F$5:$F$37,MATCH($G121,优化后功能框架!$A$5:$A$37,0))</f>
        <v>成员5</v>
      </c>
      <c r="J121" s="5" t="str">
        <f>INDEX(优化后功能框架!$G$5:$G$37,MATCH($G121,优化后功能框架!$A$5:$A$37,0))</f>
        <v>成员6</v>
      </c>
      <c r="K121" s="7" t="str">
        <f>INDEX(优化后功能框架!$H$5:$H$37,MATCH($G121,优化后功能框架!$A$5:$A$37,0))</f>
        <v>套现成模板(门户)</v>
      </c>
      <c r="L121" s="5" t="str">
        <f>INDEX(优化后功能框架!$I$5:$I$37,MATCH($G121,优化后功能框架!$A$5:$A$37,0))</f>
        <v>L2</v>
      </c>
      <c r="M121" s="5" t="str">
        <f>INDEX(优化后功能框架!$J$5:$J$37,MATCH($G121,优化后功能框架!$A$5:$A$37,0))</f>
        <v>P1</v>
      </c>
      <c r="N121" s="5" t="str">
        <f>INDEX(优化后功能框架!$M$5:$M$37,MATCH($G121,优化后功能框架!$A$5:$A$37,0))</f>
        <v>D8</v>
      </c>
      <c r="O121" s="7"/>
      <c r="P121" s="5"/>
    </row>
    <row r="122" spans="1:16">
      <c r="A122" s="5">
        <v>118</v>
      </c>
      <c r="B122" s="8" t="s">
        <v>885</v>
      </c>
      <c r="C122" s="6" t="s">
        <v>846</v>
      </c>
      <c r="D122" s="6" t="s">
        <v>847</v>
      </c>
      <c r="E122" s="6" t="s">
        <v>883</v>
      </c>
      <c r="F122" s="6" t="s">
        <v>886</v>
      </c>
      <c r="G122" s="40" t="s">
        <v>414</v>
      </c>
      <c r="H122" s="7" t="str">
        <f>INDEX(优化后功能框架!$C$5:$C$37,MATCH($G122,优化后功能框架!$A$5:$A$37,0))</f>
        <v>成绩与榜单</v>
      </c>
      <c r="I122" s="5" t="str">
        <f>INDEX(优化后功能框架!$F$5:$F$37,MATCH($G122,优化后功能框架!$A$5:$A$37,0))</f>
        <v>成员5</v>
      </c>
      <c r="J122" s="5" t="str">
        <f>INDEX(优化后功能框架!$G$5:$G$37,MATCH($G122,优化后功能框架!$A$5:$A$37,0))</f>
        <v>成员6</v>
      </c>
      <c r="K122" s="7" t="str">
        <f>INDEX(优化后功能框架!$H$5:$H$37,MATCH($G122,优化后功能框架!$A$5:$A$37,0))</f>
        <v>套现成模板(门户)</v>
      </c>
      <c r="L122" s="5" t="str">
        <f>INDEX(优化后功能框架!$I$5:$I$37,MATCH($G122,优化后功能框架!$A$5:$A$37,0))</f>
        <v>L2</v>
      </c>
      <c r="M122" s="5" t="str">
        <f>INDEX(优化后功能框架!$J$5:$J$37,MATCH($G122,优化后功能框架!$A$5:$A$37,0))</f>
        <v>P1</v>
      </c>
      <c r="N122" s="5" t="str">
        <f>INDEX(优化后功能框架!$M$5:$M$37,MATCH($G122,优化后功能框架!$A$5:$A$37,0))</f>
        <v>D8</v>
      </c>
      <c r="O122" s="7"/>
      <c r="P122" s="5"/>
    </row>
    <row r="123" spans="1:16">
      <c r="A123" s="5">
        <v>119</v>
      </c>
      <c r="B123" s="8" t="s">
        <v>887</v>
      </c>
      <c r="C123" s="6" t="s">
        <v>846</v>
      </c>
      <c r="D123" s="6" t="s">
        <v>847</v>
      </c>
      <c r="E123" s="6" t="s">
        <v>883</v>
      </c>
      <c r="F123" s="6" t="s">
        <v>888</v>
      </c>
      <c r="G123" s="40" t="s">
        <v>414</v>
      </c>
      <c r="H123" s="7" t="str">
        <f>INDEX(优化后功能框架!$C$5:$C$37,MATCH($G123,优化后功能框架!$A$5:$A$37,0))</f>
        <v>成绩与榜单</v>
      </c>
      <c r="I123" s="5" t="str">
        <f>INDEX(优化后功能框架!$F$5:$F$37,MATCH($G123,优化后功能框架!$A$5:$A$37,0))</f>
        <v>成员5</v>
      </c>
      <c r="J123" s="5" t="str">
        <f>INDEX(优化后功能框架!$G$5:$G$37,MATCH($G123,优化后功能框架!$A$5:$A$37,0))</f>
        <v>成员6</v>
      </c>
      <c r="K123" s="7" t="str">
        <f>INDEX(优化后功能框架!$H$5:$H$37,MATCH($G123,优化后功能框架!$A$5:$A$37,0))</f>
        <v>套现成模板(门户)</v>
      </c>
      <c r="L123" s="5" t="str">
        <f>INDEX(优化后功能框架!$I$5:$I$37,MATCH($G123,优化后功能框架!$A$5:$A$37,0))</f>
        <v>L2</v>
      </c>
      <c r="M123" s="5" t="str">
        <f>INDEX(优化后功能框架!$J$5:$J$37,MATCH($G123,优化后功能框架!$A$5:$A$37,0))</f>
        <v>P1</v>
      </c>
      <c r="N123" s="5" t="str">
        <f>INDEX(优化后功能框架!$M$5:$M$37,MATCH($G123,优化后功能框架!$A$5:$A$37,0))</f>
        <v>D8</v>
      </c>
      <c r="O123" s="7"/>
      <c r="P123" s="5"/>
    </row>
    <row r="124" spans="1:16">
      <c r="A124" s="5">
        <v>120</v>
      </c>
      <c r="B124" s="8" t="s">
        <v>889</v>
      </c>
      <c r="C124" s="6" t="s">
        <v>846</v>
      </c>
      <c r="D124" s="6" t="s">
        <v>847</v>
      </c>
      <c r="E124" s="6" t="s">
        <v>883</v>
      </c>
      <c r="F124" s="6" t="s">
        <v>890</v>
      </c>
      <c r="G124" s="40" t="s">
        <v>414</v>
      </c>
      <c r="H124" s="7" t="str">
        <f>INDEX(优化后功能框架!$C$5:$C$37,MATCH($G124,优化后功能框架!$A$5:$A$37,0))</f>
        <v>成绩与榜单</v>
      </c>
      <c r="I124" s="5" t="str">
        <f>INDEX(优化后功能框架!$F$5:$F$37,MATCH($G124,优化后功能框架!$A$5:$A$37,0))</f>
        <v>成员5</v>
      </c>
      <c r="J124" s="5" t="str">
        <f>INDEX(优化后功能框架!$G$5:$G$37,MATCH($G124,优化后功能框架!$A$5:$A$37,0))</f>
        <v>成员6</v>
      </c>
      <c r="K124" s="7" t="str">
        <f>INDEX(优化后功能框架!$H$5:$H$37,MATCH($G124,优化后功能框架!$A$5:$A$37,0))</f>
        <v>套现成模板(门户)</v>
      </c>
      <c r="L124" s="5" t="str">
        <f>INDEX(优化后功能框架!$I$5:$I$37,MATCH($G124,优化后功能框架!$A$5:$A$37,0))</f>
        <v>L2</v>
      </c>
      <c r="M124" s="5" t="str">
        <f>INDEX(优化后功能框架!$J$5:$J$37,MATCH($G124,优化后功能框架!$A$5:$A$37,0))</f>
        <v>P1</v>
      </c>
      <c r="N124" s="5" t="str">
        <f>INDEX(优化后功能框架!$M$5:$M$37,MATCH($G124,优化后功能框架!$A$5:$A$37,0))</f>
        <v>D8</v>
      </c>
      <c r="O124" s="7"/>
      <c r="P124" s="5"/>
    </row>
    <row r="125" spans="1:16">
      <c r="A125" s="5">
        <v>121</v>
      </c>
      <c r="B125" s="8" t="s">
        <v>891</v>
      </c>
      <c r="C125" s="6" t="s">
        <v>846</v>
      </c>
      <c r="D125" s="6" t="s">
        <v>847</v>
      </c>
      <c r="E125" s="6" t="s">
        <v>883</v>
      </c>
      <c r="F125" s="6" t="s">
        <v>892</v>
      </c>
      <c r="G125" s="40" t="s">
        <v>414</v>
      </c>
      <c r="H125" s="7" t="str">
        <f>INDEX(优化后功能框架!$C$5:$C$37,MATCH($G125,优化后功能框架!$A$5:$A$37,0))</f>
        <v>成绩与榜单</v>
      </c>
      <c r="I125" s="5" t="str">
        <f>INDEX(优化后功能框架!$F$5:$F$37,MATCH($G125,优化后功能框架!$A$5:$A$37,0))</f>
        <v>成员5</v>
      </c>
      <c r="J125" s="5" t="str">
        <f>INDEX(优化后功能框架!$G$5:$G$37,MATCH($G125,优化后功能框架!$A$5:$A$37,0))</f>
        <v>成员6</v>
      </c>
      <c r="K125" s="7" t="str">
        <f>INDEX(优化后功能框架!$H$5:$H$37,MATCH($G125,优化后功能框架!$A$5:$A$37,0))</f>
        <v>套现成模板(门户)</v>
      </c>
      <c r="L125" s="5" t="str">
        <f>INDEX(优化后功能框架!$I$5:$I$37,MATCH($G125,优化后功能框架!$A$5:$A$37,0))</f>
        <v>L2</v>
      </c>
      <c r="M125" s="5" t="str">
        <f>INDEX(优化后功能框架!$J$5:$J$37,MATCH($G125,优化后功能框架!$A$5:$A$37,0))</f>
        <v>P1</v>
      </c>
      <c r="N125" s="5" t="str">
        <f>INDEX(优化后功能框架!$M$5:$M$37,MATCH($G125,优化后功能框架!$A$5:$A$37,0))</f>
        <v>D8</v>
      </c>
      <c r="O125" s="7"/>
      <c r="P125" s="5"/>
    </row>
    <row r="126" spans="1:16">
      <c r="A126" s="5">
        <v>122</v>
      </c>
      <c r="B126" s="8" t="s">
        <v>893</v>
      </c>
      <c r="C126" s="6" t="s">
        <v>846</v>
      </c>
      <c r="D126" s="6" t="s">
        <v>847</v>
      </c>
      <c r="E126" s="6" t="s">
        <v>894</v>
      </c>
      <c r="F126" s="6" t="s">
        <v>895</v>
      </c>
      <c r="G126" s="40" t="s">
        <v>613</v>
      </c>
      <c r="H126" s="7" t="str">
        <f>INDEX(优化后功能框架!$C$5:$C$37,MATCH($G126,优化后功能框架!$A$5:$A$37,0))</f>
        <v>内容管理引擎(CMS)</v>
      </c>
      <c r="I126" s="5" t="str">
        <f>INDEX(优化后功能框架!$F$5:$F$37,MATCH($G126,优化后功能框架!$A$5:$A$37,0))</f>
        <v>成员5</v>
      </c>
      <c r="J126" s="5" t="str">
        <f>INDEX(优化后功能框架!$G$5:$G$37,MATCH($G126,优化后功能框架!$A$5:$A$37,0))</f>
        <v>成员6</v>
      </c>
      <c r="K126" s="7" t="str">
        <f>INDEX(优化后功能框架!$H$5:$H$37,MATCH($G126,优化后功能框架!$A$5:$A$37,0))</f>
        <v>套现成模板+表单</v>
      </c>
      <c r="L126" s="5" t="str">
        <f>INDEX(优化后功能框架!$I$5:$I$37,MATCH($G126,优化后功能框架!$A$5:$A$37,0))</f>
        <v>L2</v>
      </c>
      <c r="M126" s="5" t="str">
        <f>INDEX(优化后功能框架!$J$5:$J$37,MATCH($G126,优化后功能框架!$A$5:$A$37,0))</f>
        <v>P1</v>
      </c>
      <c r="N126" s="5" t="str">
        <f>INDEX(优化后功能框架!$M$5:$M$37,MATCH($G126,优化后功能框架!$A$5:$A$37,0))</f>
        <v>D7</v>
      </c>
      <c r="O126" s="7"/>
      <c r="P126" s="5"/>
    </row>
    <row r="127" spans="1:16">
      <c r="A127" s="5">
        <v>123</v>
      </c>
      <c r="B127" s="8" t="s">
        <v>896</v>
      </c>
      <c r="C127" s="6" t="s">
        <v>846</v>
      </c>
      <c r="D127" s="6" t="s">
        <v>847</v>
      </c>
      <c r="E127" s="6" t="s">
        <v>894</v>
      </c>
      <c r="F127" s="6" t="s">
        <v>897</v>
      </c>
      <c r="G127" s="40" t="s">
        <v>613</v>
      </c>
      <c r="H127" s="7" t="str">
        <f>INDEX(优化后功能框架!$C$5:$C$37,MATCH($G127,优化后功能框架!$A$5:$A$37,0))</f>
        <v>内容管理引擎(CMS)</v>
      </c>
      <c r="I127" s="5" t="str">
        <f>INDEX(优化后功能框架!$F$5:$F$37,MATCH($G127,优化后功能框架!$A$5:$A$37,0))</f>
        <v>成员5</v>
      </c>
      <c r="J127" s="5" t="str">
        <f>INDEX(优化后功能框架!$G$5:$G$37,MATCH($G127,优化后功能框架!$A$5:$A$37,0))</f>
        <v>成员6</v>
      </c>
      <c r="K127" s="7" t="str">
        <f>INDEX(优化后功能框架!$H$5:$H$37,MATCH($G127,优化后功能框架!$A$5:$A$37,0))</f>
        <v>套现成模板+表单</v>
      </c>
      <c r="L127" s="5" t="str">
        <f>INDEX(优化后功能框架!$I$5:$I$37,MATCH($G127,优化后功能框架!$A$5:$A$37,0))</f>
        <v>L2</v>
      </c>
      <c r="M127" s="5" t="str">
        <f>INDEX(优化后功能框架!$J$5:$J$37,MATCH($G127,优化后功能框架!$A$5:$A$37,0))</f>
        <v>P1</v>
      </c>
      <c r="N127" s="5" t="str">
        <f>INDEX(优化后功能框架!$M$5:$M$37,MATCH($G127,优化后功能框架!$A$5:$A$37,0))</f>
        <v>D7</v>
      </c>
      <c r="O127" s="7"/>
      <c r="P127" s="5"/>
    </row>
    <row r="128" spans="1:16">
      <c r="A128" s="5">
        <v>124</v>
      </c>
      <c r="B128" s="8" t="s">
        <v>898</v>
      </c>
      <c r="C128" s="6" t="s">
        <v>846</v>
      </c>
      <c r="D128" s="6" t="s">
        <v>847</v>
      </c>
      <c r="E128" s="6" t="s">
        <v>894</v>
      </c>
      <c r="F128" s="6" t="s">
        <v>899</v>
      </c>
      <c r="G128" s="40" t="s">
        <v>613</v>
      </c>
      <c r="H128" s="7" t="str">
        <f>INDEX(优化后功能框架!$C$5:$C$37,MATCH($G128,优化后功能框架!$A$5:$A$37,0))</f>
        <v>内容管理引擎(CMS)</v>
      </c>
      <c r="I128" s="5" t="str">
        <f>INDEX(优化后功能框架!$F$5:$F$37,MATCH($G128,优化后功能框架!$A$5:$A$37,0))</f>
        <v>成员5</v>
      </c>
      <c r="J128" s="5" t="str">
        <f>INDEX(优化后功能框架!$G$5:$G$37,MATCH($G128,优化后功能框架!$A$5:$A$37,0))</f>
        <v>成员6</v>
      </c>
      <c r="K128" s="7" t="str">
        <f>INDEX(优化后功能框架!$H$5:$H$37,MATCH($G128,优化后功能框架!$A$5:$A$37,0))</f>
        <v>套现成模板+表单</v>
      </c>
      <c r="L128" s="5" t="str">
        <f>INDEX(优化后功能框架!$I$5:$I$37,MATCH($G128,优化后功能框架!$A$5:$A$37,0))</f>
        <v>L2</v>
      </c>
      <c r="M128" s="5" t="str">
        <f>INDEX(优化后功能框架!$J$5:$J$37,MATCH($G128,优化后功能框架!$A$5:$A$37,0))</f>
        <v>P1</v>
      </c>
      <c r="N128" s="5" t="str">
        <f>INDEX(优化后功能框架!$M$5:$M$37,MATCH($G128,优化后功能框架!$A$5:$A$37,0))</f>
        <v>D7</v>
      </c>
      <c r="O128" s="7"/>
      <c r="P128" s="5"/>
    </row>
    <row r="129" spans="1:16">
      <c r="A129" s="5">
        <v>125</v>
      </c>
      <c r="B129" s="8" t="s">
        <v>900</v>
      </c>
      <c r="C129" s="6" t="s">
        <v>846</v>
      </c>
      <c r="D129" s="6" t="s">
        <v>847</v>
      </c>
      <c r="E129" s="6" t="s">
        <v>894</v>
      </c>
      <c r="F129" s="6" t="s">
        <v>901</v>
      </c>
      <c r="G129" s="40" t="s">
        <v>613</v>
      </c>
      <c r="H129" s="7" t="str">
        <f>INDEX(优化后功能框架!$C$5:$C$37,MATCH($G129,优化后功能框架!$A$5:$A$37,0))</f>
        <v>内容管理引擎(CMS)</v>
      </c>
      <c r="I129" s="5" t="str">
        <f>INDEX(优化后功能框架!$F$5:$F$37,MATCH($G129,优化后功能框架!$A$5:$A$37,0))</f>
        <v>成员5</v>
      </c>
      <c r="J129" s="5" t="str">
        <f>INDEX(优化后功能框架!$G$5:$G$37,MATCH($G129,优化后功能框架!$A$5:$A$37,0))</f>
        <v>成员6</v>
      </c>
      <c r="K129" s="7" t="str">
        <f>INDEX(优化后功能框架!$H$5:$H$37,MATCH($G129,优化后功能框架!$A$5:$A$37,0))</f>
        <v>套现成模板+表单</v>
      </c>
      <c r="L129" s="5" t="str">
        <f>INDEX(优化后功能框架!$I$5:$I$37,MATCH($G129,优化后功能框架!$A$5:$A$37,0))</f>
        <v>L2</v>
      </c>
      <c r="M129" s="5" t="str">
        <f>INDEX(优化后功能框架!$J$5:$J$37,MATCH($G129,优化后功能框架!$A$5:$A$37,0))</f>
        <v>P1</v>
      </c>
      <c r="N129" s="5" t="str">
        <f>INDEX(优化后功能框架!$M$5:$M$37,MATCH($G129,优化后功能框架!$A$5:$A$37,0))</f>
        <v>D7</v>
      </c>
      <c r="O129" s="7"/>
      <c r="P129" s="5"/>
    </row>
    <row r="130" spans="1:16">
      <c r="A130" s="5">
        <v>126</v>
      </c>
      <c r="B130" s="8" t="s">
        <v>902</v>
      </c>
      <c r="C130" s="6" t="s">
        <v>846</v>
      </c>
      <c r="D130" s="6" t="s">
        <v>847</v>
      </c>
      <c r="E130" s="6" t="s">
        <v>894</v>
      </c>
      <c r="F130" s="6" t="s">
        <v>903</v>
      </c>
      <c r="G130" s="40" t="s">
        <v>613</v>
      </c>
      <c r="H130" s="7" t="str">
        <f>INDEX(优化后功能框架!$C$5:$C$37,MATCH($G130,优化后功能框架!$A$5:$A$37,0))</f>
        <v>内容管理引擎(CMS)</v>
      </c>
      <c r="I130" s="5" t="str">
        <f>INDEX(优化后功能框架!$F$5:$F$37,MATCH($G130,优化后功能框架!$A$5:$A$37,0))</f>
        <v>成员5</v>
      </c>
      <c r="J130" s="5" t="str">
        <f>INDEX(优化后功能框架!$G$5:$G$37,MATCH($G130,优化后功能框架!$A$5:$A$37,0))</f>
        <v>成员6</v>
      </c>
      <c r="K130" s="7" t="str">
        <f>INDEX(优化后功能框架!$H$5:$H$37,MATCH($G130,优化后功能框架!$A$5:$A$37,0))</f>
        <v>套现成模板+表单</v>
      </c>
      <c r="L130" s="5" t="str">
        <f>INDEX(优化后功能框架!$I$5:$I$37,MATCH($G130,优化后功能框架!$A$5:$A$37,0))</f>
        <v>L2</v>
      </c>
      <c r="M130" s="5" t="str">
        <f>INDEX(优化后功能框架!$J$5:$J$37,MATCH($G130,优化后功能框架!$A$5:$A$37,0))</f>
        <v>P1</v>
      </c>
      <c r="N130" s="5" t="str">
        <f>INDEX(优化后功能框架!$M$5:$M$37,MATCH($G130,优化后功能框架!$A$5:$A$37,0))</f>
        <v>D7</v>
      </c>
      <c r="O130" s="7"/>
      <c r="P130" s="5"/>
    </row>
    <row r="131" spans="1:16">
      <c r="A131" s="5">
        <v>127</v>
      </c>
      <c r="B131" s="8" t="s">
        <v>904</v>
      </c>
      <c r="C131" s="6" t="s">
        <v>846</v>
      </c>
      <c r="D131" s="6" t="s">
        <v>847</v>
      </c>
      <c r="E131" s="6" t="s">
        <v>905</v>
      </c>
      <c r="F131" s="6" t="s">
        <v>906</v>
      </c>
      <c r="G131" s="40" t="s">
        <v>613</v>
      </c>
      <c r="H131" s="7" t="str">
        <f>INDEX(优化后功能框架!$C$5:$C$37,MATCH($G131,优化后功能框架!$A$5:$A$37,0))</f>
        <v>内容管理引擎(CMS)</v>
      </c>
      <c r="I131" s="5" t="str">
        <f>INDEX(优化后功能框架!$F$5:$F$37,MATCH($G131,优化后功能框架!$A$5:$A$37,0))</f>
        <v>成员5</v>
      </c>
      <c r="J131" s="5" t="str">
        <f>INDEX(优化后功能框架!$G$5:$G$37,MATCH($G131,优化后功能框架!$A$5:$A$37,0))</f>
        <v>成员6</v>
      </c>
      <c r="K131" s="7" t="str">
        <f>INDEX(优化后功能框架!$H$5:$H$37,MATCH($G131,优化后功能框架!$A$5:$A$37,0))</f>
        <v>套现成模板+表单</v>
      </c>
      <c r="L131" s="5" t="str">
        <f>INDEX(优化后功能框架!$I$5:$I$37,MATCH($G131,优化后功能框架!$A$5:$A$37,0))</f>
        <v>L2</v>
      </c>
      <c r="M131" s="5" t="str">
        <f>INDEX(优化后功能框架!$J$5:$J$37,MATCH($G131,优化后功能框架!$A$5:$A$37,0))</f>
        <v>P1</v>
      </c>
      <c r="N131" s="5" t="str">
        <f>INDEX(优化后功能框架!$M$5:$M$37,MATCH($G131,优化后功能框架!$A$5:$A$37,0))</f>
        <v>D7</v>
      </c>
      <c r="O131" s="7"/>
      <c r="P131" s="5"/>
    </row>
    <row r="132" spans="1:16">
      <c r="A132" s="5">
        <v>128</v>
      </c>
      <c r="B132" s="8" t="s">
        <v>907</v>
      </c>
      <c r="C132" s="6" t="s">
        <v>846</v>
      </c>
      <c r="D132" s="6" t="s">
        <v>847</v>
      </c>
      <c r="E132" s="6" t="s">
        <v>905</v>
      </c>
      <c r="F132" s="6" t="s">
        <v>908</v>
      </c>
      <c r="G132" s="40" t="s">
        <v>613</v>
      </c>
      <c r="H132" s="7" t="str">
        <f>INDEX(优化后功能框架!$C$5:$C$37,MATCH($G132,优化后功能框架!$A$5:$A$37,0))</f>
        <v>内容管理引擎(CMS)</v>
      </c>
      <c r="I132" s="5" t="str">
        <f>INDEX(优化后功能框架!$F$5:$F$37,MATCH($G132,优化后功能框架!$A$5:$A$37,0))</f>
        <v>成员5</v>
      </c>
      <c r="J132" s="5" t="str">
        <f>INDEX(优化后功能框架!$G$5:$G$37,MATCH($G132,优化后功能框架!$A$5:$A$37,0))</f>
        <v>成员6</v>
      </c>
      <c r="K132" s="7" t="str">
        <f>INDEX(优化后功能框架!$H$5:$H$37,MATCH($G132,优化后功能框架!$A$5:$A$37,0))</f>
        <v>套现成模板+表单</v>
      </c>
      <c r="L132" s="5" t="str">
        <f>INDEX(优化后功能框架!$I$5:$I$37,MATCH($G132,优化后功能框架!$A$5:$A$37,0))</f>
        <v>L2</v>
      </c>
      <c r="M132" s="5" t="str">
        <f>INDEX(优化后功能框架!$J$5:$J$37,MATCH($G132,优化后功能框架!$A$5:$A$37,0))</f>
        <v>P1</v>
      </c>
      <c r="N132" s="5" t="str">
        <f>INDEX(优化后功能框架!$M$5:$M$37,MATCH($G132,优化后功能框架!$A$5:$A$37,0))</f>
        <v>D7</v>
      </c>
      <c r="O132" s="7"/>
      <c r="P132" s="5"/>
    </row>
    <row r="133" spans="1:16">
      <c r="A133" s="5">
        <v>129</v>
      </c>
      <c r="B133" s="8" t="s">
        <v>909</v>
      </c>
      <c r="C133" s="6" t="s">
        <v>846</v>
      </c>
      <c r="D133" s="6" t="s">
        <v>847</v>
      </c>
      <c r="E133" s="6" t="s">
        <v>905</v>
      </c>
      <c r="F133" s="6" t="s">
        <v>910</v>
      </c>
      <c r="G133" s="40" t="s">
        <v>613</v>
      </c>
      <c r="H133" s="7" t="str">
        <f>INDEX(优化后功能框架!$C$5:$C$37,MATCH($G133,优化后功能框架!$A$5:$A$37,0))</f>
        <v>内容管理引擎(CMS)</v>
      </c>
      <c r="I133" s="5" t="str">
        <f>INDEX(优化后功能框架!$F$5:$F$37,MATCH($G133,优化后功能框架!$A$5:$A$37,0))</f>
        <v>成员5</v>
      </c>
      <c r="J133" s="5" t="str">
        <f>INDEX(优化后功能框架!$G$5:$G$37,MATCH($G133,优化后功能框架!$A$5:$A$37,0))</f>
        <v>成员6</v>
      </c>
      <c r="K133" s="7" t="str">
        <f>INDEX(优化后功能框架!$H$5:$H$37,MATCH($G133,优化后功能框架!$A$5:$A$37,0))</f>
        <v>套现成模板+表单</v>
      </c>
      <c r="L133" s="5" t="str">
        <f>INDEX(优化后功能框架!$I$5:$I$37,MATCH($G133,优化后功能框架!$A$5:$A$37,0))</f>
        <v>L2</v>
      </c>
      <c r="M133" s="5" t="str">
        <f>INDEX(优化后功能框架!$J$5:$J$37,MATCH($G133,优化后功能框架!$A$5:$A$37,0))</f>
        <v>P1</v>
      </c>
      <c r="N133" s="5" t="str">
        <f>INDEX(优化后功能框架!$M$5:$M$37,MATCH($G133,优化后功能框架!$A$5:$A$37,0))</f>
        <v>D7</v>
      </c>
      <c r="O133" s="7"/>
      <c r="P133" s="5"/>
    </row>
    <row r="134" spans="1:16">
      <c r="A134" s="5">
        <v>130</v>
      </c>
      <c r="B134" s="8" t="s">
        <v>911</v>
      </c>
      <c r="C134" s="6" t="s">
        <v>846</v>
      </c>
      <c r="D134" s="6" t="s">
        <v>847</v>
      </c>
      <c r="E134" s="6" t="s">
        <v>905</v>
      </c>
      <c r="F134" s="6" t="s">
        <v>912</v>
      </c>
      <c r="G134" s="40" t="s">
        <v>613</v>
      </c>
      <c r="H134" s="7" t="str">
        <f>INDEX(优化后功能框架!$C$5:$C$37,MATCH($G134,优化后功能框架!$A$5:$A$37,0))</f>
        <v>内容管理引擎(CMS)</v>
      </c>
      <c r="I134" s="5" t="str">
        <f>INDEX(优化后功能框架!$F$5:$F$37,MATCH($G134,优化后功能框架!$A$5:$A$37,0))</f>
        <v>成员5</v>
      </c>
      <c r="J134" s="5" t="str">
        <f>INDEX(优化后功能框架!$G$5:$G$37,MATCH($G134,优化后功能框架!$A$5:$A$37,0))</f>
        <v>成员6</v>
      </c>
      <c r="K134" s="7" t="str">
        <f>INDEX(优化后功能框架!$H$5:$H$37,MATCH($G134,优化后功能框架!$A$5:$A$37,0))</f>
        <v>套现成模板+表单</v>
      </c>
      <c r="L134" s="5" t="str">
        <f>INDEX(优化后功能框架!$I$5:$I$37,MATCH($G134,优化后功能框架!$A$5:$A$37,0))</f>
        <v>L2</v>
      </c>
      <c r="M134" s="5" t="str">
        <f>INDEX(优化后功能框架!$J$5:$J$37,MATCH($G134,优化后功能框架!$A$5:$A$37,0))</f>
        <v>P1</v>
      </c>
      <c r="N134" s="5" t="str">
        <f>INDEX(优化后功能框架!$M$5:$M$37,MATCH($G134,优化后功能框架!$A$5:$A$37,0))</f>
        <v>D7</v>
      </c>
      <c r="O134" s="7"/>
      <c r="P134" s="5"/>
    </row>
    <row r="135" spans="1:16">
      <c r="A135" s="5">
        <v>131</v>
      </c>
      <c r="B135" s="8" t="s">
        <v>913</v>
      </c>
      <c r="C135" s="6" t="s">
        <v>846</v>
      </c>
      <c r="D135" s="6" t="s">
        <v>847</v>
      </c>
      <c r="E135" s="6" t="s">
        <v>905</v>
      </c>
      <c r="F135" s="6" t="s">
        <v>914</v>
      </c>
      <c r="G135" s="40" t="s">
        <v>613</v>
      </c>
      <c r="H135" s="7" t="str">
        <f>INDEX(优化后功能框架!$C$5:$C$37,MATCH($G135,优化后功能框架!$A$5:$A$37,0))</f>
        <v>内容管理引擎(CMS)</v>
      </c>
      <c r="I135" s="5" t="str">
        <f>INDEX(优化后功能框架!$F$5:$F$37,MATCH($G135,优化后功能框架!$A$5:$A$37,0))</f>
        <v>成员5</v>
      </c>
      <c r="J135" s="5" t="str">
        <f>INDEX(优化后功能框架!$G$5:$G$37,MATCH($G135,优化后功能框架!$A$5:$A$37,0))</f>
        <v>成员6</v>
      </c>
      <c r="K135" s="7" t="str">
        <f>INDEX(优化后功能框架!$H$5:$H$37,MATCH($G135,优化后功能框架!$A$5:$A$37,0))</f>
        <v>套现成模板+表单</v>
      </c>
      <c r="L135" s="5" t="str">
        <f>INDEX(优化后功能框架!$I$5:$I$37,MATCH($G135,优化后功能框架!$A$5:$A$37,0))</f>
        <v>L2</v>
      </c>
      <c r="M135" s="5" t="str">
        <f>INDEX(优化后功能框架!$J$5:$J$37,MATCH($G135,优化后功能框架!$A$5:$A$37,0))</f>
        <v>P1</v>
      </c>
      <c r="N135" s="5" t="str">
        <f>INDEX(优化后功能框架!$M$5:$M$37,MATCH($G135,优化后功能框架!$A$5:$A$37,0))</f>
        <v>D7</v>
      </c>
      <c r="O135" s="7"/>
      <c r="P135" s="5"/>
    </row>
    <row r="136" spans="1:16">
      <c r="A136" s="5">
        <v>132</v>
      </c>
      <c r="B136" s="8" t="s">
        <v>915</v>
      </c>
      <c r="C136" s="6" t="s">
        <v>846</v>
      </c>
      <c r="D136" s="6" t="s">
        <v>847</v>
      </c>
      <c r="E136" s="6" t="s">
        <v>905</v>
      </c>
      <c r="F136" s="6" t="s">
        <v>916</v>
      </c>
      <c r="G136" s="40" t="s">
        <v>613</v>
      </c>
      <c r="H136" s="7" t="str">
        <f>INDEX(优化后功能框架!$C$5:$C$37,MATCH($G136,优化后功能框架!$A$5:$A$37,0))</f>
        <v>内容管理引擎(CMS)</v>
      </c>
      <c r="I136" s="5" t="str">
        <f>INDEX(优化后功能框架!$F$5:$F$37,MATCH($G136,优化后功能框架!$A$5:$A$37,0))</f>
        <v>成员5</v>
      </c>
      <c r="J136" s="5" t="str">
        <f>INDEX(优化后功能框架!$G$5:$G$37,MATCH($G136,优化后功能框架!$A$5:$A$37,0))</f>
        <v>成员6</v>
      </c>
      <c r="K136" s="7" t="str">
        <f>INDEX(优化后功能框架!$H$5:$H$37,MATCH($G136,优化后功能框架!$A$5:$A$37,0))</f>
        <v>套现成模板+表单</v>
      </c>
      <c r="L136" s="5" t="str">
        <f>INDEX(优化后功能框架!$I$5:$I$37,MATCH($G136,优化后功能框架!$A$5:$A$37,0))</f>
        <v>L2</v>
      </c>
      <c r="M136" s="5" t="str">
        <f>INDEX(优化后功能框架!$J$5:$J$37,MATCH($G136,优化后功能框架!$A$5:$A$37,0))</f>
        <v>P1</v>
      </c>
      <c r="N136" s="5" t="str">
        <f>INDEX(优化后功能框架!$M$5:$M$37,MATCH($G136,优化后功能框架!$A$5:$A$37,0))</f>
        <v>D7</v>
      </c>
      <c r="O136" s="7"/>
      <c r="P136" s="5"/>
    </row>
    <row r="137" spans="1:16">
      <c r="A137" s="5">
        <v>133</v>
      </c>
      <c r="B137" s="8" t="s">
        <v>917</v>
      </c>
      <c r="C137" s="6" t="s">
        <v>846</v>
      </c>
      <c r="D137" s="6" t="s">
        <v>847</v>
      </c>
      <c r="E137" s="6" t="s">
        <v>918</v>
      </c>
      <c r="F137" s="6" t="s">
        <v>919</v>
      </c>
      <c r="G137" s="40" t="s">
        <v>621</v>
      </c>
      <c r="H137" s="7" t="str">
        <f>INDEX(优化后功能框架!$C$5:$C$37,MATCH($G137,优化后功能框架!$A$5:$A$37,0))</f>
        <v>门户展示资源</v>
      </c>
      <c r="I137" s="5" t="str">
        <f>INDEX(优化后功能框架!$F$5:$F$37,MATCH($G137,优化后功能框架!$A$5:$A$37,0))</f>
        <v>成员5</v>
      </c>
      <c r="J137" s="5" t="str">
        <f>INDEX(优化后功能框架!$G$5:$G$37,MATCH($G137,优化后功能框架!$A$5:$A$37,0))</f>
        <v>成员6</v>
      </c>
      <c r="K137" s="7" t="str">
        <f>INDEX(优化后功能框架!$H$5:$H$37,MATCH($G137,优化后功能框架!$A$5:$A$37,0))</f>
        <v>套现成模板</v>
      </c>
      <c r="L137" s="5" t="str">
        <f>INDEX(优化后功能框架!$I$5:$I$37,MATCH($G137,优化后功能框架!$A$5:$A$37,0))</f>
        <v>L2</v>
      </c>
      <c r="M137" s="5" t="str">
        <f>INDEX(优化后功能框架!$J$5:$J$37,MATCH($G137,优化后功能框架!$A$5:$A$37,0))</f>
        <v>P2</v>
      </c>
      <c r="N137" s="5" t="str">
        <f>INDEX(优化后功能框架!$M$5:$M$37,MATCH($G137,优化后功能框架!$A$5:$A$37,0))</f>
        <v>D7</v>
      </c>
      <c r="O137" s="7"/>
      <c r="P137" s="5"/>
    </row>
    <row r="138" spans="1:16">
      <c r="A138" s="5">
        <v>134</v>
      </c>
      <c r="B138" s="8" t="s">
        <v>920</v>
      </c>
      <c r="C138" s="6" t="s">
        <v>846</v>
      </c>
      <c r="D138" s="6" t="s">
        <v>847</v>
      </c>
      <c r="E138" s="6" t="s">
        <v>918</v>
      </c>
      <c r="F138" s="6" t="s">
        <v>921</v>
      </c>
      <c r="G138" s="40" t="s">
        <v>621</v>
      </c>
      <c r="H138" s="7" t="str">
        <f>INDEX(优化后功能框架!$C$5:$C$37,MATCH($G138,优化后功能框架!$A$5:$A$37,0))</f>
        <v>门户展示资源</v>
      </c>
      <c r="I138" s="5" t="str">
        <f>INDEX(优化后功能框架!$F$5:$F$37,MATCH($G138,优化后功能框架!$A$5:$A$37,0))</f>
        <v>成员5</v>
      </c>
      <c r="J138" s="5" t="str">
        <f>INDEX(优化后功能框架!$G$5:$G$37,MATCH($G138,优化后功能框架!$A$5:$A$37,0))</f>
        <v>成员6</v>
      </c>
      <c r="K138" s="7" t="str">
        <f>INDEX(优化后功能框架!$H$5:$H$37,MATCH($G138,优化后功能框架!$A$5:$A$37,0))</f>
        <v>套现成模板</v>
      </c>
      <c r="L138" s="5" t="str">
        <f>INDEX(优化后功能框架!$I$5:$I$37,MATCH($G138,优化后功能框架!$A$5:$A$37,0))</f>
        <v>L2</v>
      </c>
      <c r="M138" s="5" t="str">
        <f>INDEX(优化后功能框架!$J$5:$J$37,MATCH($G138,优化后功能框架!$A$5:$A$37,0))</f>
        <v>P2</v>
      </c>
      <c r="N138" s="5" t="str">
        <f>INDEX(优化后功能框架!$M$5:$M$37,MATCH($G138,优化后功能框架!$A$5:$A$37,0))</f>
        <v>D7</v>
      </c>
      <c r="O138" s="7"/>
      <c r="P138" s="5"/>
    </row>
    <row r="139" spans="1:16">
      <c r="A139" s="5">
        <v>135</v>
      </c>
      <c r="B139" s="8" t="s">
        <v>922</v>
      </c>
      <c r="C139" s="6" t="s">
        <v>846</v>
      </c>
      <c r="D139" s="6" t="s">
        <v>847</v>
      </c>
      <c r="E139" s="6" t="s">
        <v>918</v>
      </c>
      <c r="F139" s="6" t="s">
        <v>923</v>
      </c>
      <c r="G139" s="40" t="s">
        <v>621</v>
      </c>
      <c r="H139" s="7" t="str">
        <f>INDEX(优化后功能框架!$C$5:$C$37,MATCH($G139,优化后功能框架!$A$5:$A$37,0))</f>
        <v>门户展示资源</v>
      </c>
      <c r="I139" s="5" t="str">
        <f>INDEX(优化后功能框架!$F$5:$F$37,MATCH($G139,优化后功能框架!$A$5:$A$37,0))</f>
        <v>成员5</v>
      </c>
      <c r="J139" s="5" t="str">
        <f>INDEX(优化后功能框架!$G$5:$G$37,MATCH($G139,优化后功能框架!$A$5:$A$37,0))</f>
        <v>成员6</v>
      </c>
      <c r="K139" s="7" t="str">
        <f>INDEX(优化后功能框架!$H$5:$H$37,MATCH($G139,优化后功能框架!$A$5:$A$37,0))</f>
        <v>套现成模板</v>
      </c>
      <c r="L139" s="5" t="str">
        <f>INDEX(优化后功能框架!$I$5:$I$37,MATCH($G139,优化后功能框架!$A$5:$A$37,0))</f>
        <v>L2</v>
      </c>
      <c r="M139" s="5" t="str">
        <f>INDEX(优化后功能框架!$J$5:$J$37,MATCH($G139,优化后功能框架!$A$5:$A$37,0))</f>
        <v>P2</v>
      </c>
      <c r="N139" s="5" t="str">
        <f>INDEX(优化后功能框架!$M$5:$M$37,MATCH($G139,优化后功能框架!$A$5:$A$37,0))</f>
        <v>D7</v>
      </c>
      <c r="O139" s="7"/>
      <c r="P139" s="5"/>
    </row>
    <row r="140" spans="1:16">
      <c r="A140" s="5">
        <v>136</v>
      </c>
      <c r="B140" s="8" t="s">
        <v>924</v>
      </c>
      <c r="C140" s="6" t="s">
        <v>846</v>
      </c>
      <c r="D140" s="6" t="s">
        <v>847</v>
      </c>
      <c r="E140" s="6" t="s">
        <v>925</v>
      </c>
      <c r="F140" s="6" t="s">
        <v>926</v>
      </c>
      <c r="G140" s="40" t="s">
        <v>621</v>
      </c>
      <c r="H140" s="7" t="str">
        <f>INDEX(优化后功能框架!$C$5:$C$37,MATCH($G140,优化后功能框架!$A$5:$A$37,0))</f>
        <v>门户展示资源</v>
      </c>
      <c r="I140" s="5" t="str">
        <f>INDEX(优化后功能框架!$F$5:$F$37,MATCH($G140,优化后功能框架!$A$5:$A$37,0))</f>
        <v>成员5</v>
      </c>
      <c r="J140" s="5" t="str">
        <f>INDEX(优化后功能框架!$G$5:$G$37,MATCH($G140,优化后功能框架!$A$5:$A$37,0))</f>
        <v>成员6</v>
      </c>
      <c r="K140" s="7" t="str">
        <f>INDEX(优化后功能框架!$H$5:$H$37,MATCH($G140,优化后功能框架!$A$5:$A$37,0))</f>
        <v>套现成模板</v>
      </c>
      <c r="L140" s="5" t="str">
        <f>INDEX(优化后功能框架!$I$5:$I$37,MATCH($G140,优化后功能框架!$A$5:$A$37,0))</f>
        <v>L2</v>
      </c>
      <c r="M140" s="5" t="str">
        <f>INDEX(优化后功能框架!$J$5:$J$37,MATCH($G140,优化后功能框架!$A$5:$A$37,0))</f>
        <v>P2</v>
      </c>
      <c r="N140" s="5" t="str">
        <f>INDEX(优化后功能框架!$M$5:$M$37,MATCH($G140,优化后功能框架!$A$5:$A$37,0))</f>
        <v>D7</v>
      </c>
      <c r="O140" s="7"/>
      <c r="P140" s="5"/>
    </row>
    <row r="141" spans="1:16">
      <c r="A141" s="5">
        <v>137</v>
      </c>
      <c r="B141" s="8" t="s">
        <v>927</v>
      </c>
      <c r="C141" s="6" t="s">
        <v>846</v>
      </c>
      <c r="D141" s="6" t="s">
        <v>847</v>
      </c>
      <c r="E141" s="6" t="s">
        <v>925</v>
      </c>
      <c r="F141" s="6" t="s">
        <v>928</v>
      </c>
      <c r="G141" s="40" t="s">
        <v>621</v>
      </c>
      <c r="H141" s="7" t="str">
        <f>INDEX(优化后功能框架!$C$5:$C$37,MATCH($G141,优化后功能框架!$A$5:$A$37,0))</f>
        <v>门户展示资源</v>
      </c>
      <c r="I141" s="5" t="str">
        <f>INDEX(优化后功能框架!$F$5:$F$37,MATCH($G141,优化后功能框架!$A$5:$A$37,0))</f>
        <v>成员5</v>
      </c>
      <c r="J141" s="5" t="str">
        <f>INDEX(优化后功能框架!$G$5:$G$37,MATCH($G141,优化后功能框架!$A$5:$A$37,0))</f>
        <v>成员6</v>
      </c>
      <c r="K141" s="7" t="str">
        <f>INDEX(优化后功能框架!$H$5:$H$37,MATCH($G141,优化后功能框架!$A$5:$A$37,0))</f>
        <v>套现成模板</v>
      </c>
      <c r="L141" s="5" t="str">
        <f>INDEX(优化后功能框架!$I$5:$I$37,MATCH($G141,优化后功能框架!$A$5:$A$37,0))</f>
        <v>L2</v>
      </c>
      <c r="M141" s="5" t="str">
        <f>INDEX(优化后功能框架!$J$5:$J$37,MATCH($G141,优化后功能框架!$A$5:$A$37,0))</f>
        <v>P2</v>
      </c>
      <c r="N141" s="5" t="str">
        <f>INDEX(优化后功能框架!$M$5:$M$37,MATCH($G141,优化后功能框架!$A$5:$A$37,0))</f>
        <v>D7</v>
      </c>
      <c r="O141" s="7"/>
      <c r="P141" s="5"/>
    </row>
    <row r="142" spans="1:16">
      <c r="A142" s="5">
        <v>138</v>
      </c>
      <c r="B142" s="8" t="s">
        <v>929</v>
      </c>
      <c r="C142" s="6" t="s">
        <v>846</v>
      </c>
      <c r="D142" s="6" t="s">
        <v>847</v>
      </c>
      <c r="E142" s="6" t="s">
        <v>925</v>
      </c>
      <c r="F142" s="6" t="s">
        <v>930</v>
      </c>
      <c r="G142" s="40" t="s">
        <v>621</v>
      </c>
      <c r="H142" s="7" t="str">
        <f>INDEX(优化后功能框架!$C$5:$C$37,MATCH($G142,优化后功能框架!$A$5:$A$37,0))</f>
        <v>门户展示资源</v>
      </c>
      <c r="I142" s="5" t="str">
        <f>INDEX(优化后功能框架!$F$5:$F$37,MATCH($G142,优化后功能框架!$A$5:$A$37,0))</f>
        <v>成员5</v>
      </c>
      <c r="J142" s="5" t="str">
        <f>INDEX(优化后功能框架!$G$5:$G$37,MATCH($G142,优化后功能框架!$A$5:$A$37,0))</f>
        <v>成员6</v>
      </c>
      <c r="K142" s="7" t="str">
        <f>INDEX(优化后功能框架!$H$5:$H$37,MATCH($G142,优化后功能框架!$A$5:$A$37,0))</f>
        <v>套现成模板</v>
      </c>
      <c r="L142" s="5" t="str">
        <f>INDEX(优化后功能框架!$I$5:$I$37,MATCH($G142,优化后功能框架!$A$5:$A$37,0))</f>
        <v>L2</v>
      </c>
      <c r="M142" s="5" t="str">
        <f>INDEX(优化后功能框架!$J$5:$J$37,MATCH($G142,优化后功能框架!$A$5:$A$37,0))</f>
        <v>P2</v>
      </c>
      <c r="N142" s="5" t="str">
        <f>INDEX(优化后功能框架!$M$5:$M$37,MATCH($G142,优化后功能框架!$A$5:$A$37,0))</f>
        <v>D7</v>
      </c>
      <c r="O142" s="7"/>
      <c r="P142" s="5"/>
    </row>
    <row r="143" spans="1:16">
      <c r="A143" s="5">
        <v>139</v>
      </c>
      <c r="B143" s="8" t="s">
        <v>931</v>
      </c>
      <c r="C143" s="6" t="s">
        <v>846</v>
      </c>
      <c r="D143" s="6" t="s">
        <v>847</v>
      </c>
      <c r="E143" s="6" t="s">
        <v>925</v>
      </c>
      <c r="F143" s="6" t="s">
        <v>932</v>
      </c>
      <c r="G143" s="40" t="s">
        <v>621</v>
      </c>
      <c r="H143" s="7" t="str">
        <f>INDEX(优化后功能框架!$C$5:$C$37,MATCH($G143,优化后功能框架!$A$5:$A$37,0))</f>
        <v>门户展示资源</v>
      </c>
      <c r="I143" s="5" t="str">
        <f>INDEX(优化后功能框架!$F$5:$F$37,MATCH($G143,优化后功能框架!$A$5:$A$37,0))</f>
        <v>成员5</v>
      </c>
      <c r="J143" s="5" t="str">
        <f>INDEX(优化后功能框架!$G$5:$G$37,MATCH($G143,优化后功能框架!$A$5:$A$37,0))</f>
        <v>成员6</v>
      </c>
      <c r="K143" s="7" t="str">
        <f>INDEX(优化后功能框架!$H$5:$H$37,MATCH($G143,优化后功能框架!$A$5:$A$37,0))</f>
        <v>套现成模板</v>
      </c>
      <c r="L143" s="5" t="str">
        <f>INDEX(优化后功能框架!$I$5:$I$37,MATCH($G143,优化后功能框架!$A$5:$A$37,0))</f>
        <v>L2</v>
      </c>
      <c r="M143" s="5" t="str">
        <f>INDEX(优化后功能框架!$J$5:$J$37,MATCH($G143,优化后功能框架!$A$5:$A$37,0))</f>
        <v>P2</v>
      </c>
      <c r="N143" s="5" t="str">
        <f>INDEX(优化后功能框架!$M$5:$M$37,MATCH($G143,优化后功能框架!$A$5:$A$37,0))</f>
        <v>D7</v>
      </c>
      <c r="O143" s="7"/>
      <c r="P143" s="5"/>
    </row>
    <row r="144" spans="1:16">
      <c r="A144" s="5">
        <v>140</v>
      </c>
      <c r="B144" s="8" t="s">
        <v>933</v>
      </c>
      <c r="C144" s="6" t="s">
        <v>846</v>
      </c>
      <c r="D144" s="6" t="s">
        <v>847</v>
      </c>
      <c r="E144" s="6" t="s">
        <v>934</v>
      </c>
      <c r="F144" s="6" t="s">
        <v>935</v>
      </c>
      <c r="G144" s="40" t="s">
        <v>414</v>
      </c>
      <c r="H144" s="7" t="str">
        <f>INDEX(优化后功能框架!$C$5:$C$37,MATCH($G144,优化后功能框架!$A$5:$A$37,0))</f>
        <v>成绩与榜单</v>
      </c>
      <c r="I144" s="5" t="str">
        <f>INDEX(优化后功能框架!$F$5:$F$37,MATCH($G144,优化后功能框架!$A$5:$A$37,0))</f>
        <v>成员5</v>
      </c>
      <c r="J144" s="5" t="str">
        <f>INDEX(优化后功能框架!$G$5:$G$37,MATCH($G144,优化后功能框架!$A$5:$A$37,0))</f>
        <v>成员6</v>
      </c>
      <c r="K144" s="7" t="str">
        <f>INDEX(优化后功能框架!$H$5:$H$37,MATCH($G144,优化后功能框架!$A$5:$A$37,0))</f>
        <v>套现成模板(门户)</v>
      </c>
      <c r="L144" s="5" t="str">
        <f>INDEX(优化后功能框架!$I$5:$I$37,MATCH($G144,优化后功能框架!$A$5:$A$37,0))</f>
        <v>L2</v>
      </c>
      <c r="M144" s="5" t="str">
        <f>INDEX(优化后功能框架!$J$5:$J$37,MATCH($G144,优化后功能框架!$A$5:$A$37,0))</f>
        <v>P1</v>
      </c>
      <c r="N144" s="5" t="str">
        <f>INDEX(优化后功能框架!$M$5:$M$37,MATCH($G144,优化后功能框架!$A$5:$A$37,0))</f>
        <v>D8</v>
      </c>
      <c r="O144" s="7"/>
      <c r="P144" s="5"/>
    </row>
    <row r="145" spans="1:16">
      <c r="A145" s="5">
        <v>141</v>
      </c>
      <c r="B145" s="8" t="s">
        <v>936</v>
      </c>
      <c r="C145" s="6" t="s">
        <v>846</v>
      </c>
      <c r="D145" s="6" t="s">
        <v>847</v>
      </c>
      <c r="E145" s="6" t="s">
        <v>937</v>
      </c>
      <c r="F145" s="6" t="s">
        <v>938</v>
      </c>
      <c r="G145" s="40" t="s">
        <v>414</v>
      </c>
      <c r="H145" s="7" t="str">
        <f>INDEX(优化后功能框架!$C$5:$C$37,MATCH($G145,优化后功能框架!$A$5:$A$37,0))</f>
        <v>成绩与榜单</v>
      </c>
      <c r="I145" s="5" t="str">
        <f>INDEX(优化后功能框架!$F$5:$F$37,MATCH($G145,优化后功能框架!$A$5:$A$37,0))</f>
        <v>成员5</v>
      </c>
      <c r="J145" s="5" t="str">
        <f>INDEX(优化后功能框架!$G$5:$G$37,MATCH($G145,优化后功能框架!$A$5:$A$37,0))</f>
        <v>成员6</v>
      </c>
      <c r="K145" s="7" t="str">
        <f>INDEX(优化后功能框架!$H$5:$H$37,MATCH($G145,优化后功能框架!$A$5:$A$37,0))</f>
        <v>套现成模板(门户)</v>
      </c>
      <c r="L145" s="5" t="str">
        <f>INDEX(优化后功能框架!$I$5:$I$37,MATCH($G145,优化后功能框架!$A$5:$A$37,0))</f>
        <v>L2</v>
      </c>
      <c r="M145" s="5" t="str">
        <f>INDEX(优化后功能框架!$J$5:$J$37,MATCH($G145,优化后功能框架!$A$5:$A$37,0))</f>
        <v>P1</v>
      </c>
      <c r="N145" s="5" t="str">
        <f>INDEX(优化后功能框架!$M$5:$M$37,MATCH($G145,优化后功能框架!$A$5:$A$37,0))</f>
        <v>D8</v>
      </c>
      <c r="O145" s="7"/>
      <c r="P145" s="5"/>
    </row>
    <row r="146" spans="1:16">
      <c r="A146" s="5">
        <v>142</v>
      </c>
      <c r="B146" s="8" t="s">
        <v>939</v>
      </c>
      <c r="C146" s="6" t="s">
        <v>846</v>
      </c>
      <c r="D146" s="6" t="s">
        <v>847</v>
      </c>
      <c r="E146" s="6" t="s">
        <v>937</v>
      </c>
      <c r="F146" s="6" t="s">
        <v>940</v>
      </c>
      <c r="G146" s="40" t="s">
        <v>414</v>
      </c>
      <c r="H146" s="7" t="str">
        <f>INDEX(优化后功能框架!$C$5:$C$37,MATCH($G146,优化后功能框架!$A$5:$A$37,0))</f>
        <v>成绩与榜单</v>
      </c>
      <c r="I146" s="5" t="str">
        <f>INDEX(优化后功能框架!$F$5:$F$37,MATCH($G146,优化后功能框架!$A$5:$A$37,0))</f>
        <v>成员5</v>
      </c>
      <c r="J146" s="5" t="str">
        <f>INDEX(优化后功能框架!$G$5:$G$37,MATCH($G146,优化后功能框架!$A$5:$A$37,0))</f>
        <v>成员6</v>
      </c>
      <c r="K146" s="7" t="str">
        <f>INDEX(优化后功能框架!$H$5:$H$37,MATCH($G146,优化后功能框架!$A$5:$A$37,0))</f>
        <v>套现成模板(门户)</v>
      </c>
      <c r="L146" s="5" t="str">
        <f>INDEX(优化后功能框架!$I$5:$I$37,MATCH($G146,优化后功能框架!$A$5:$A$37,0))</f>
        <v>L2</v>
      </c>
      <c r="M146" s="5" t="str">
        <f>INDEX(优化后功能框架!$J$5:$J$37,MATCH($G146,优化后功能框架!$A$5:$A$37,0))</f>
        <v>P1</v>
      </c>
      <c r="N146" s="5" t="str">
        <f>INDEX(优化后功能框架!$M$5:$M$37,MATCH($G146,优化后功能框架!$A$5:$A$37,0))</f>
        <v>D8</v>
      </c>
      <c r="O146" s="7"/>
      <c r="P146" s="5"/>
    </row>
    <row r="147" spans="1:16">
      <c r="A147" s="5">
        <v>143</v>
      </c>
      <c r="B147" s="8" t="s">
        <v>941</v>
      </c>
      <c r="C147" s="6" t="s">
        <v>846</v>
      </c>
      <c r="D147" s="6" t="s">
        <v>847</v>
      </c>
      <c r="E147" s="6" t="s">
        <v>937</v>
      </c>
      <c r="F147" s="6" t="s">
        <v>942</v>
      </c>
      <c r="G147" s="40" t="s">
        <v>414</v>
      </c>
      <c r="H147" s="7" t="str">
        <f>INDEX(优化后功能框架!$C$5:$C$37,MATCH($G147,优化后功能框架!$A$5:$A$37,0))</f>
        <v>成绩与榜单</v>
      </c>
      <c r="I147" s="5" t="str">
        <f>INDEX(优化后功能框架!$F$5:$F$37,MATCH($G147,优化后功能框架!$A$5:$A$37,0))</f>
        <v>成员5</v>
      </c>
      <c r="J147" s="5" t="str">
        <f>INDEX(优化后功能框架!$G$5:$G$37,MATCH($G147,优化后功能框架!$A$5:$A$37,0))</f>
        <v>成员6</v>
      </c>
      <c r="K147" s="7" t="str">
        <f>INDEX(优化后功能框架!$H$5:$H$37,MATCH($G147,优化后功能框架!$A$5:$A$37,0))</f>
        <v>套现成模板(门户)</v>
      </c>
      <c r="L147" s="5" t="str">
        <f>INDEX(优化后功能框架!$I$5:$I$37,MATCH($G147,优化后功能框架!$A$5:$A$37,0))</f>
        <v>L2</v>
      </c>
      <c r="M147" s="5" t="str">
        <f>INDEX(优化后功能框架!$J$5:$J$37,MATCH($G147,优化后功能框架!$A$5:$A$37,0))</f>
        <v>P1</v>
      </c>
      <c r="N147" s="5" t="str">
        <f>INDEX(优化后功能框架!$M$5:$M$37,MATCH($G147,优化后功能框架!$A$5:$A$37,0))</f>
        <v>D8</v>
      </c>
      <c r="O147" s="7"/>
      <c r="P147" s="5"/>
    </row>
    <row r="148" spans="1:16">
      <c r="A148" s="5">
        <v>144</v>
      </c>
      <c r="B148" s="8" t="s">
        <v>943</v>
      </c>
      <c r="C148" s="6" t="s">
        <v>944</v>
      </c>
      <c r="D148" s="6" t="s">
        <v>945</v>
      </c>
      <c r="E148" s="6" t="s">
        <v>946</v>
      </c>
      <c r="F148" s="6" t="s">
        <v>947</v>
      </c>
      <c r="G148" s="40" t="s">
        <v>520</v>
      </c>
      <c r="H148" s="7" t="str">
        <f>INDEX(优化后功能框架!$C$5:$C$37,MATCH($G148,优化后功能框架!$A$5:$A$37,0))</f>
        <v>运动员档案</v>
      </c>
      <c r="I148" s="5" t="str">
        <f>INDEX(优化后功能框架!$F$5:$F$37,MATCH($G148,优化后功能框架!$A$5:$A$37,0))</f>
        <v>成员4</v>
      </c>
      <c r="J148" s="5" t="str">
        <f>INDEX(优化后功能框架!$G$5:$G$37,MATCH($G148,优化后功能框架!$A$5:$A$37,0))</f>
        <v>成员1</v>
      </c>
      <c r="K148" s="7" t="str">
        <f>INDEX(优化后功能框架!$H$5:$H$37,MATCH($G148,优化后功能框架!$A$5:$A$37,0))</f>
        <v>手写复杂页</v>
      </c>
      <c r="L148" s="5" t="str">
        <f>INDEX(优化后功能框架!$I$5:$I$37,MATCH($G148,优化后功能框架!$A$5:$A$37,0))</f>
        <v>L1</v>
      </c>
      <c r="M148" s="5" t="str">
        <f>INDEX(优化后功能框架!$J$5:$J$37,MATCH($G148,优化后功能框架!$A$5:$A$37,0))</f>
        <v>P0</v>
      </c>
      <c r="N148" s="5" t="str">
        <f>INDEX(优化后功能框架!$M$5:$M$37,MATCH($G148,优化后功能框架!$A$5:$A$37,0))</f>
        <v>D3</v>
      </c>
      <c r="O148" s="7"/>
      <c r="P148" s="5"/>
    </row>
    <row r="149" spans="1:16">
      <c r="A149" s="5">
        <v>145</v>
      </c>
      <c r="B149" s="8" t="s">
        <v>948</v>
      </c>
      <c r="C149" s="6" t="s">
        <v>944</v>
      </c>
      <c r="D149" s="6" t="s">
        <v>945</v>
      </c>
      <c r="E149" s="6" t="s">
        <v>946</v>
      </c>
      <c r="F149" s="6" t="s">
        <v>949</v>
      </c>
      <c r="G149" s="40" t="s">
        <v>520</v>
      </c>
      <c r="H149" s="7" t="str">
        <f>INDEX(优化后功能框架!$C$5:$C$37,MATCH($G149,优化后功能框架!$A$5:$A$37,0))</f>
        <v>运动员档案</v>
      </c>
      <c r="I149" s="5" t="str">
        <f>INDEX(优化后功能框架!$F$5:$F$37,MATCH($G149,优化后功能框架!$A$5:$A$37,0))</f>
        <v>成员4</v>
      </c>
      <c r="J149" s="5" t="str">
        <f>INDEX(优化后功能框架!$G$5:$G$37,MATCH($G149,优化后功能框架!$A$5:$A$37,0))</f>
        <v>成员1</v>
      </c>
      <c r="K149" s="7" t="str">
        <f>INDEX(优化后功能框架!$H$5:$H$37,MATCH($G149,优化后功能框架!$A$5:$A$37,0))</f>
        <v>手写复杂页</v>
      </c>
      <c r="L149" s="5" t="str">
        <f>INDEX(优化后功能框架!$I$5:$I$37,MATCH($G149,优化后功能框架!$A$5:$A$37,0))</f>
        <v>L1</v>
      </c>
      <c r="M149" s="5" t="str">
        <f>INDEX(优化后功能框架!$J$5:$J$37,MATCH($G149,优化后功能框架!$A$5:$A$37,0))</f>
        <v>P0</v>
      </c>
      <c r="N149" s="5" t="str">
        <f>INDEX(优化后功能框架!$M$5:$M$37,MATCH($G149,优化后功能框架!$A$5:$A$37,0))</f>
        <v>D3</v>
      </c>
      <c r="O149" s="7"/>
      <c r="P149" s="5"/>
    </row>
    <row r="150" spans="1:16">
      <c r="A150" s="5">
        <v>146</v>
      </c>
      <c r="B150" s="8" t="s">
        <v>950</v>
      </c>
      <c r="C150" s="6" t="s">
        <v>944</v>
      </c>
      <c r="D150" s="6" t="s">
        <v>945</v>
      </c>
      <c r="E150" s="6" t="s">
        <v>946</v>
      </c>
      <c r="F150" s="6" t="s">
        <v>951</v>
      </c>
      <c r="G150" s="40" t="s">
        <v>520</v>
      </c>
      <c r="H150" s="7" t="str">
        <f>INDEX(优化后功能框架!$C$5:$C$37,MATCH($G150,优化后功能框架!$A$5:$A$37,0))</f>
        <v>运动员档案</v>
      </c>
      <c r="I150" s="5" t="str">
        <f>INDEX(优化后功能框架!$F$5:$F$37,MATCH($G150,优化后功能框架!$A$5:$A$37,0))</f>
        <v>成员4</v>
      </c>
      <c r="J150" s="5" t="str">
        <f>INDEX(优化后功能框架!$G$5:$G$37,MATCH($G150,优化后功能框架!$A$5:$A$37,0))</f>
        <v>成员1</v>
      </c>
      <c r="K150" s="7" t="str">
        <f>INDEX(优化后功能框架!$H$5:$H$37,MATCH($G150,优化后功能框架!$A$5:$A$37,0))</f>
        <v>手写复杂页</v>
      </c>
      <c r="L150" s="5" t="str">
        <f>INDEX(优化后功能框架!$I$5:$I$37,MATCH($G150,优化后功能框架!$A$5:$A$37,0))</f>
        <v>L1</v>
      </c>
      <c r="M150" s="5" t="str">
        <f>INDEX(优化后功能框架!$J$5:$J$37,MATCH($G150,优化后功能框架!$A$5:$A$37,0))</f>
        <v>P0</v>
      </c>
      <c r="N150" s="5" t="str">
        <f>INDEX(优化后功能框架!$M$5:$M$37,MATCH($G150,优化后功能框架!$A$5:$A$37,0))</f>
        <v>D3</v>
      </c>
      <c r="O150" s="7"/>
      <c r="P150" s="5"/>
    </row>
    <row r="151" spans="1:16">
      <c r="A151" s="5">
        <v>147</v>
      </c>
      <c r="B151" s="8" t="s">
        <v>952</v>
      </c>
      <c r="C151" s="6" t="s">
        <v>944</v>
      </c>
      <c r="D151" s="6" t="s">
        <v>945</v>
      </c>
      <c r="E151" s="6" t="s">
        <v>946</v>
      </c>
      <c r="F151" s="6" t="s">
        <v>953</v>
      </c>
      <c r="G151" s="40" t="s">
        <v>520</v>
      </c>
      <c r="H151" s="7" t="str">
        <f>INDEX(优化后功能框架!$C$5:$C$37,MATCH($G151,优化后功能框架!$A$5:$A$37,0))</f>
        <v>运动员档案</v>
      </c>
      <c r="I151" s="5" t="str">
        <f>INDEX(优化后功能框架!$F$5:$F$37,MATCH($G151,优化后功能框架!$A$5:$A$37,0))</f>
        <v>成员4</v>
      </c>
      <c r="J151" s="5" t="str">
        <f>INDEX(优化后功能框架!$G$5:$G$37,MATCH($G151,优化后功能框架!$A$5:$A$37,0))</f>
        <v>成员1</v>
      </c>
      <c r="K151" s="7" t="str">
        <f>INDEX(优化后功能框架!$H$5:$H$37,MATCH($G151,优化后功能框架!$A$5:$A$37,0))</f>
        <v>手写复杂页</v>
      </c>
      <c r="L151" s="5" t="str">
        <f>INDEX(优化后功能框架!$I$5:$I$37,MATCH($G151,优化后功能框架!$A$5:$A$37,0))</f>
        <v>L1</v>
      </c>
      <c r="M151" s="5" t="str">
        <f>INDEX(优化后功能框架!$J$5:$J$37,MATCH($G151,优化后功能框架!$A$5:$A$37,0))</f>
        <v>P0</v>
      </c>
      <c r="N151" s="5" t="str">
        <f>INDEX(优化后功能框架!$M$5:$M$37,MATCH($G151,优化后功能框架!$A$5:$A$37,0))</f>
        <v>D3</v>
      </c>
      <c r="O151" s="7"/>
      <c r="P151" s="5"/>
    </row>
    <row r="152" spans="1:16">
      <c r="A152" s="5">
        <v>148</v>
      </c>
      <c r="B152" s="8" t="s">
        <v>954</v>
      </c>
      <c r="C152" s="6" t="s">
        <v>944</v>
      </c>
      <c r="D152" s="6" t="s">
        <v>945</v>
      </c>
      <c r="E152" s="6" t="s">
        <v>946</v>
      </c>
      <c r="F152" s="6" t="s">
        <v>955</v>
      </c>
      <c r="G152" s="40" t="s">
        <v>520</v>
      </c>
      <c r="H152" s="7" t="str">
        <f>INDEX(优化后功能框架!$C$5:$C$37,MATCH($G152,优化后功能框架!$A$5:$A$37,0))</f>
        <v>运动员档案</v>
      </c>
      <c r="I152" s="5" t="str">
        <f>INDEX(优化后功能框架!$F$5:$F$37,MATCH($G152,优化后功能框架!$A$5:$A$37,0))</f>
        <v>成员4</v>
      </c>
      <c r="J152" s="5" t="str">
        <f>INDEX(优化后功能框架!$G$5:$G$37,MATCH($G152,优化后功能框架!$A$5:$A$37,0))</f>
        <v>成员1</v>
      </c>
      <c r="K152" s="7" t="str">
        <f>INDEX(优化后功能框架!$H$5:$H$37,MATCH($G152,优化后功能框架!$A$5:$A$37,0))</f>
        <v>手写复杂页</v>
      </c>
      <c r="L152" s="5" t="str">
        <f>INDEX(优化后功能框架!$I$5:$I$37,MATCH($G152,优化后功能框架!$A$5:$A$37,0))</f>
        <v>L1</v>
      </c>
      <c r="M152" s="5" t="str">
        <f>INDEX(优化后功能框架!$J$5:$J$37,MATCH($G152,优化后功能框架!$A$5:$A$37,0))</f>
        <v>P0</v>
      </c>
      <c r="N152" s="5" t="str">
        <f>INDEX(优化后功能框架!$M$5:$M$37,MATCH($G152,优化后功能框架!$A$5:$A$37,0))</f>
        <v>D3</v>
      </c>
      <c r="O152" s="7"/>
      <c r="P152" s="5"/>
    </row>
    <row r="153" spans="1:16" ht="25">
      <c r="A153" s="5">
        <v>149</v>
      </c>
      <c r="B153" s="8" t="s">
        <v>956</v>
      </c>
      <c r="C153" s="6" t="s">
        <v>944</v>
      </c>
      <c r="D153" s="6" t="s">
        <v>945</v>
      </c>
      <c r="E153" s="6" t="s">
        <v>957</v>
      </c>
      <c r="F153" s="6" t="s">
        <v>958</v>
      </c>
      <c r="G153" s="40" t="s">
        <v>443</v>
      </c>
      <c r="H153" s="7" t="str">
        <f>INDEX(优化后功能框架!$C$5:$C$37,MATCH($G153,优化后功能框架!$A$5:$A$37,0))</f>
        <v>公示</v>
      </c>
      <c r="I153" s="5" t="str">
        <f>INDEX(优化后功能框架!$F$5:$F$37,MATCH($G153,优化后功能框架!$A$5:$A$37,0))</f>
        <v>成员6</v>
      </c>
      <c r="J153" s="5" t="str">
        <f>INDEX(优化后功能框架!$G$5:$G$37,MATCH($G153,优化后功能框架!$A$5:$A$37,0))</f>
        <v>成员6</v>
      </c>
      <c r="K153" s="7" t="str">
        <f>INDEX(优化后功能框架!$H$5:$H$37,MATCH($G153,优化后功能框架!$A$5:$A$37,0))</f>
        <v>生成器标准页+门户页</v>
      </c>
      <c r="L153" s="5" t="str">
        <f>INDEX(优化后功能框架!$I$5:$I$37,MATCH($G153,优化后功能框架!$A$5:$A$37,0))</f>
        <v>L2</v>
      </c>
      <c r="M153" s="5" t="str">
        <f>INDEX(优化后功能框架!$J$5:$J$37,MATCH($G153,优化后功能框架!$A$5:$A$37,0))</f>
        <v>P1</v>
      </c>
      <c r="N153" s="5" t="str">
        <f>INDEX(优化后功能框架!$M$5:$M$37,MATCH($G153,优化后功能框架!$A$5:$A$37,0))</f>
        <v>D6</v>
      </c>
      <c r="O153" s="7"/>
      <c r="P153" s="5"/>
    </row>
    <row r="154" spans="1:16" ht="25">
      <c r="A154" s="5">
        <v>150</v>
      </c>
      <c r="B154" s="8" t="s">
        <v>959</v>
      </c>
      <c r="C154" s="6" t="s">
        <v>944</v>
      </c>
      <c r="D154" s="6" t="s">
        <v>945</v>
      </c>
      <c r="E154" s="6" t="s">
        <v>957</v>
      </c>
      <c r="F154" s="6" t="s">
        <v>960</v>
      </c>
      <c r="G154" s="40" t="s">
        <v>443</v>
      </c>
      <c r="H154" s="7" t="str">
        <f>INDEX(优化后功能框架!$C$5:$C$37,MATCH($G154,优化后功能框架!$A$5:$A$37,0))</f>
        <v>公示</v>
      </c>
      <c r="I154" s="5" t="str">
        <f>INDEX(优化后功能框架!$F$5:$F$37,MATCH($G154,优化后功能框架!$A$5:$A$37,0))</f>
        <v>成员6</v>
      </c>
      <c r="J154" s="5" t="str">
        <f>INDEX(优化后功能框架!$G$5:$G$37,MATCH($G154,优化后功能框架!$A$5:$A$37,0))</f>
        <v>成员6</v>
      </c>
      <c r="K154" s="7" t="str">
        <f>INDEX(优化后功能框架!$H$5:$H$37,MATCH($G154,优化后功能框架!$A$5:$A$37,0))</f>
        <v>生成器标准页+门户页</v>
      </c>
      <c r="L154" s="5" t="str">
        <f>INDEX(优化后功能框架!$I$5:$I$37,MATCH($G154,优化后功能框架!$A$5:$A$37,0))</f>
        <v>L2</v>
      </c>
      <c r="M154" s="5" t="str">
        <f>INDEX(优化后功能框架!$J$5:$J$37,MATCH($G154,优化后功能框架!$A$5:$A$37,0))</f>
        <v>P1</v>
      </c>
      <c r="N154" s="5" t="str">
        <f>INDEX(优化后功能框架!$M$5:$M$37,MATCH($G154,优化后功能框架!$A$5:$A$37,0))</f>
        <v>D6</v>
      </c>
      <c r="O154" s="7"/>
      <c r="P154" s="5"/>
    </row>
    <row r="155" spans="1:16" ht="25">
      <c r="A155" s="5">
        <v>151</v>
      </c>
      <c r="B155" s="8" t="s">
        <v>961</v>
      </c>
      <c r="C155" s="6" t="s">
        <v>944</v>
      </c>
      <c r="D155" s="6" t="s">
        <v>945</v>
      </c>
      <c r="E155" s="6" t="s">
        <v>957</v>
      </c>
      <c r="F155" s="6" t="s">
        <v>962</v>
      </c>
      <c r="G155" s="40" t="s">
        <v>443</v>
      </c>
      <c r="H155" s="7" t="str">
        <f>INDEX(优化后功能框架!$C$5:$C$37,MATCH($G155,优化后功能框架!$A$5:$A$37,0))</f>
        <v>公示</v>
      </c>
      <c r="I155" s="5" t="str">
        <f>INDEX(优化后功能框架!$F$5:$F$37,MATCH($G155,优化后功能框架!$A$5:$A$37,0))</f>
        <v>成员6</v>
      </c>
      <c r="J155" s="5" t="str">
        <f>INDEX(优化后功能框架!$G$5:$G$37,MATCH($G155,优化后功能框架!$A$5:$A$37,0))</f>
        <v>成员6</v>
      </c>
      <c r="K155" s="7" t="str">
        <f>INDEX(优化后功能框架!$H$5:$H$37,MATCH($G155,优化后功能框架!$A$5:$A$37,0))</f>
        <v>生成器标准页+门户页</v>
      </c>
      <c r="L155" s="5" t="str">
        <f>INDEX(优化后功能框架!$I$5:$I$37,MATCH($G155,优化后功能框架!$A$5:$A$37,0))</f>
        <v>L2</v>
      </c>
      <c r="M155" s="5" t="str">
        <f>INDEX(优化后功能框架!$J$5:$J$37,MATCH($G155,优化后功能框架!$A$5:$A$37,0))</f>
        <v>P1</v>
      </c>
      <c r="N155" s="5" t="str">
        <f>INDEX(优化后功能框架!$M$5:$M$37,MATCH($G155,优化后功能框架!$A$5:$A$37,0))</f>
        <v>D6</v>
      </c>
      <c r="O155" s="7"/>
      <c r="P155" s="5"/>
    </row>
    <row r="156" spans="1:16" ht="25">
      <c r="A156" s="5">
        <v>152</v>
      </c>
      <c r="B156" s="8" t="s">
        <v>963</v>
      </c>
      <c r="C156" s="6" t="s">
        <v>944</v>
      </c>
      <c r="D156" s="6" t="s">
        <v>945</v>
      </c>
      <c r="E156" s="6" t="s">
        <v>964</v>
      </c>
      <c r="F156" s="6" t="s">
        <v>965</v>
      </c>
      <c r="G156" s="40" t="s">
        <v>528</v>
      </c>
      <c r="H156" s="7" t="str">
        <f>INDEX(优化后功能框架!$C$5:$C$37,MATCH($G156,优化后功能框架!$A$5:$A$37,0))</f>
        <v>履历材料(通用)</v>
      </c>
      <c r="I156" s="5" t="str">
        <f>INDEX(优化后功能框架!$F$5:$F$37,MATCH($G156,优化后功能框架!$A$5:$A$37,0))</f>
        <v>成员4</v>
      </c>
      <c r="J156" s="5" t="str">
        <f>INDEX(优化后功能框架!$G$5:$G$37,MATCH($G156,优化后功能框架!$A$5:$A$37,0))</f>
        <v>成员1</v>
      </c>
      <c r="K156" s="7" t="str">
        <f>INDEX(优化后功能框架!$H$5:$H$37,MATCH($G156,优化后功能框架!$A$5:$A$37,0))</f>
        <v>手写复杂页(通用表单组件)</v>
      </c>
      <c r="L156" s="5" t="str">
        <f>INDEX(优化后功能框架!$I$5:$I$37,MATCH($G156,优化后功能框架!$A$5:$A$37,0))</f>
        <v>L2</v>
      </c>
      <c r="M156" s="5" t="str">
        <f>INDEX(优化后功能框架!$J$5:$J$37,MATCH($G156,优化后功能框架!$A$5:$A$37,0))</f>
        <v>P1</v>
      </c>
      <c r="N156" s="5" t="str">
        <f>INDEX(优化后功能框架!$M$5:$M$37,MATCH($G156,优化后功能框架!$A$5:$A$37,0))</f>
        <v>D6</v>
      </c>
      <c r="O156" s="7"/>
      <c r="P156" s="5"/>
    </row>
    <row r="157" spans="1:16" ht="25">
      <c r="A157" s="5">
        <v>153</v>
      </c>
      <c r="B157" s="8" t="s">
        <v>966</v>
      </c>
      <c r="C157" s="6" t="s">
        <v>944</v>
      </c>
      <c r="D157" s="6" t="s">
        <v>945</v>
      </c>
      <c r="E157" s="6" t="s">
        <v>964</v>
      </c>
      <c r="F157" s="6" t="s">
        <v>967</v>
      </c>
      <c r="G157" s="40" t="s">
        <v>528</v>
      </c>
      <c r="H157" s="7" t="str">
        <f>INDEX(优化后功能框架!$C$5:$C$37,MATCH($G157,优化后功能框架!$A$5:$A$37,0))</f>
        <v>履历材料(通用)</v>
      </c>
      <c r="I157" s="5" t="str">
        <f>INDEX(优化后功能框架!$F$5:$F$37,MATCH($G157,优化后功能框架!$A$5:$A$37,0))</f>
        <v>成员4</v>
      </c>
      <c r="J157" s="5" t="str">
        <f>INDEX(优化后功能框架!$G$5:$G$37,MATCH($G157,优化后功能框架!$A$5:$A$37,0))</f>
        <v>成员1</v>
      </c>
      <c r="K157" s="7" t="str">
        <f>INDEX(优化后功能框架!$H$5:$H$37,MATCH($G157,优化后功能框架!$A$5:$A$37,0))</f>
        <v>手写复杂页(通用表单组件)</v>
      </c>
      <c r="L157" s="5" t="str">
        <f>INDEX(优化后功能框架!$I$5:$I$37,MATCH($G157,优化后功能框架!$A$5:$A$37,0))</f>
        <v>L2</v>
      </c>
      <c r="M157" s="5" t="str">
        <f>INDEX(优化后功能框架!$J$5:$J$37,MATCH($G157,优化后功能框架!$A$5:$A$37,0))</f>
        <v>P1</v>
      </c>
      <c r="N157" s="5" t="str">
        <f>INDEX(优化后功能框架!$M$5:$M$37,MATCH($G157,优化后功能框架!$A$5:$A$37,0))</f>
        <v>D6</v>
      </c>
      <c r="O157" s="7"/>
      <c r="P157" s="5"/>
    </row>
    <row r="158" spans="1:16" ht="25">
      <c r="A158" s="5">
        <v>154</v>
      </c>
      <c r="B158" s="8" t="s">
        <v>968</v>
      </c>
      <c r="C158" s="6" t="s">
        <v>944</v>
      </c>
      <c r="D158" s="6" t="s">
        <v>945</v>
      </c>
      <c r="E158" s="6" t="s">
        <v>964</v>
      </c>
      <c r="F158" s="6" t="s">
        <v>969</v>
      </c>
      <c r="G158" s="40" t="s">
        <v>528</v>
      </c>
      <c r="H158" s="7" t="str">
        <f>INDEX(优化后功能框架!$C$5:$C$37,MATCH($G158,优化后功能框架!$A$5:$A$37,0))</f>
        <v>履历材料(通用)</v>
      </c>
      <c r="I158" s="5" t="str">
        <f>INDEX(优化后功能框架!$F$5:$F$37,MATCH($G158,优化后功能框架!$A$5:$A$37,0))</f>
        <v>成员4</v>
      </c>
      <c r="J158" s="5" t="str">
        <f>INDEX(优化后功能框架!$G$5:$G$37,MATCH($G158,优化后功能框架!$A$5:$A$37,0))</f>
        <v>成员1</v>
      </c>
      <c r="K158" s="7" t="str">
        <f>INDEX(优化后功能框架!$H$5:$H$37,MATCH($G158,优化后功能框架!$A$5:$A$37,0))</f>
        <v>手写复杂页(通用表单组件)</v>
      </c>
      <c r="L158" s="5" t="str">
        <f>INDEX(优化后功能框架!$I$5:$I$37,MATCH($G158,优化后功能框架!$A$5:$A$37,0))</f>
        <v>L2</v>
      </c>
      <c r="M158" s="5" t="str">
        <f>INDEX(优化后功能框架!$J$5:$J$37,MATCH($G158,优化后功能框架!$A$5:$A$37,0))</f>
        <v>P1</v>
      </c>
      <c r="N158" s="5" t="str">
        <f>INDEX(优化后功能框架!$M$5:$M$37,MATCH($G158,优化后功能框架!$A$5:$A$37,0))</f>
        <v>D6</v>
      </c>
      <c r="O158" s="7"/>
      <c r="P158" s="5"/>
    </row>
    <row r="159" spans="1:16" ht="25">
      <c r="A159" s="5">
        <v>155</v>
      </c>
      <c r="B159" s="8" t="s">
        <v>970</v>
      </c>
      <c r="C159" s="6" t="s">
        <v>944</v>
      </c>
      <c r="D159" s="6" t="s">
        <v>945</v>
      </c>
      <c r="E159" s="6" t="s">
        <v>964</v>
      </c>
      <c r="F159" s="6" t="s">
        <v>971</v>
      </c>
      <c r="G159" s="40" t="s">
        <v>528</v>
      </c>
      <c r="H159" s="7" t="str">
        <f>INDEX(优化后功能框架!$C$5:$C$37,MATCH($G159,优化后功能框架!$A$5:$A$37,0))</f>
        <v>履历材料(通用)</v>
      </c>
      <c r="I159" s="5" t="str">
        <f>INDEX(优化后功能框架!$F$5:$F$37,MATCH($G159,优化后功能框架!$A$5:$A$37,0))</f>
        <v>成员4</v>
      </c>
      <c r="J159" s="5" t="str">
        <f>INDEX(优化后功能框架!$G$5:$G$37,MATCH($G159,优化后功能框架!$A$5:$A$37,0))</f>
        <v>成员1</v>
      </c>
      <c r="K159" s="7" t="str">
        <f>INDEX(优化后功能框架!$H$5:$H$37,MATCH($G159,优化后功能框架!$A$5:$A$37,0))</f>
        <v>手写复杂页(通用表单组件)</v>
      </c>
      <c r="L159" s="5" t="str">
        <f>INDEX(优化后功能框架!$I$5:$I$37,MATCH($G159,优化后功能框架!$A$5:$A$37,0))</f>
        <v>L2</v>
      </c>
      <c r="M159" s="5" t="str">
        <f>INDEX(优化后功能框架!$J$5:$J$37,MATCH($G159,优化后功能框架!$A$5:$A$37,0))</f>
        <v>P1</v>
      </c>
      <c r="N159" s="5" t="str">
        <f>INDEX(优化后功能框架!$M$5:$M$37,MATCH($G159,优化后功能框架!$A$5:$A$37,0))</f>
        <v>D6</v>
      </c>
      <c r="O159" s="7"/>
      <c r="P159" s="5"/>
    </row>
    <row r="160" spans="1:16" ht="25">
      <c r="A160" s="5">
        <v>156</v>
      </c>
      <c r="B160" s="8" t="s">
        <v>972</v>
      </c>
      <c r="C160" s="6" t="s">
        <v>944</v>
      </c>
      <c r="D160" s="6" t="s">
        <v>945</v>
      </c>
      <c r="E160" s="6" t="s">
        <v>964</v>
      </c>
      <c r="F160" s="6" t="s">
        <v>973</v>
      </c>
      <c r="G160" s="40" t="s">
        <v>528</v>
      </c>
      <c r="H160" s="7" t="str">
        <f>INDEX(优化后功能框架!$C$5:$C$37,MATCH($G160,优化后功能框架!$A$5:$A$37,0))</f>
        <v>履历材料(通用)</v>
      </c>
      <c r="I160" s="5" t="str">
        <f>INDEX(优化后功能框架!$F$5:$F$37,MATCH($G160,优化后功能框架!$A$5:$A$37,0))</f>
        <v>成员4</v>
      </c>
      <c r="J160" s="5" t="str">
        <f>INDEX(优化后功能框架!$G$5:$G$37,MATCH($G160,优化后功能框架!$A$5:$A$37,0))</f>
        <v>成员1</v>
      </c>
      <c r="K160" s="7" t="str">
        <f>INDEX(优化后功能框架!$H$5:$H$37,MATCH($G160,优化后功能框架!$A$5:$A$37,0))</f>
        <v>手写复杂页(通用表单组件)</v>
      </c>
      <c r="L160" s="5" t="str">
        <f>INDEX(优化后功能框架!$I$5:$I$37,MATCH($G160,优化后功能框架!$A$5:$A$37,0))</f>
        <v>L2</v>
      </c>
      <c r="M160" s="5" t="str">
        <f>INDEX(优化后功能框架!$J$5:$J$37,MATCH($G160,优化后功能框架!$A$5:$A$37,0))</f>
        <v>P1</v>
      </c>
      <c r="N160" s="5" t="str">
        <f>INDEX(优化后功能框架!$M$5:$M$37,MATCH($G160,优化后功能框架!$A$5:$A$37,0))</f>
        <v>D6</v>
      </c>
      <c r="O160" s="7"/>
      <c r="P160" s="5"/>
    </row>
    <row r="161" spans="1:16" ht="25">
      <c r="A161" s="5">
        <v>157</v>
      </c>
      <c r="B161" s="8" t="s">
        <v>974</v>
      </c>
      <c r="C161" s="6" t="s">
        <v>944</v>
      </c>
      <c r="D161" s="6" t="s">
        <v>945</v>
      </c>
      <c r="E161" s="6" t="s">
        <v>964</v>
      </c>
      <c r="F161" s="6" t="s">
        <v>975</v>
      </c>
      <c r="G161" s="40" t="s">
        <v>528</v>
      </c>
      <c r="H161" s="7" t="str">
        <f>INDEX(优化后功能框架!$C$5:$C$37,MATCH($G161,优化后功能框架!$A$5:$A$37,0))</f>
        <v>履历材料(通用)</v>
      </c>
      <c r="I161" s="5" t="str">
        <f>INDEX(优化后功能框架!$F$5:$F$37,MATCH($G161,优化后功能框架!$A$5:$A$37,0))</f>
        <v>成员4</v>
      </c>
      <c r="J161" s="5" t="str">
        <f>INDEX(优化后功能框架!$G$5:$G$37,MATCH($G161,优化后功能框架!$A$5:$A$37,0))</f>
        <v>成员1</v>
      </c>
      <c r="K161" s="7" t="str">
        <f>INDEX(优化后功能框架!$H$5:$H$37,MATCH($G161,优化后功能框架!$A$5:$A$37,0))</f>
        <v>手写复杂页(通用表单组件)</v>
      </c>
      <c r="L161" s="5" t="str">
        <f>INDEX(优化后功能框架!$I$5:$I$37,MATCH($G161,优化后功能框架!$A$5:$A$37,0))</f>
        <v>L2</v>
      </c>
      <c r="M161" s="5" t="str">
        <f>INDEX(优化后功能框架!$J$5:$J$37,MATCH($G161,优化后功能框架!$A$5:$A$37,0))</f>
        <v>P1</v>
      </c>
      <c r="N161" s="5" t="str">
        <f>INDEX(优化后功能框架!$M$5:$M$37,MATCH($G161,优化后功能框架!$A$5:$A$37,0))</f>
        <v>D6</v>
      </c>
      <c r="O161" s="7"/>
      <c r="P161" s="5"/>
    </row>
    <row r="162" spans="1:16" ht="25">
      <c r="A162" s="5">
        <v>158</v>
      </c>
      <c r="B162" s="8" t="s">
        <v>976</v>
      </c>
      <c r="C162" s="6" t="s">
        <v>944</v>
      </c>
      <c r="D162" s="6" t="s">
        <v>945</v>
      </c>
      <c r="E162" s="6" t="s">
        <v>964</v>
      </c>
      <c r="F162" s="6" t="s">
        <v>977</v>
      </c>
      <c r="G162" s="40" t="s">
        <v>528</v>
      </c>
      <c r="H162" s="7" t="str">
        <f>INDEX(优化后功能框架!$C$5:$C$37,MATCH($G162,优化后功能框架!$A$5:$A$37,0))</f>
        <v>履历材料(通用)</v>
      </c>
      <c r="I162" s="5" t="str">
        <f>INDEX(优化后功能框架!$F$5:$F$37,MATCH($G162,优化后功能框架!$A$5:$A$37,0))</f>
        <v>成员4</v>
      </c>
      <c r="J162" s="5" t="str">
        <f>INDEX(优化后功能框架!$G$5:$G$37,MATCH($G162,优化后功能框架!$A$5:$A$37,0))</f>
        <v>成员1</v>
      </c>
      <c r="K162" s="7" t="str">
        <f>INDEX(优化后功能框架!$H$5:$H$37,MATCH($G162,优化后功能框架!$A$5:$A$37,0))</f>
        <v>手写复杂页(通用表单组件)</v>
      </c>
      <c r="L162" s="5" t="str">
        <f>INDEX(优化后功能框架!$I$5:$I$37,MATCH($G162,优化后功能框架!$A$5:$A$37,0))</f>
        <v>L2</v>
      </c>
      <c r="M162" s="5" t="str">
        <f>INDEX(优化后功能框架!$J$5:$J$37,MATCH($G162,优化后功能框架!$A$5:$A$37,0))</f>
        <v>P1</v>
      </c>
      <c r="N162" s="5" t="str">
        <f>INDEX(优化后功能框架!$M$5:$M$37,MATCH($G162,优化后功能框架!$A$5:$A$37,0))</f>
        <v>D6</v>
      </c>
      <c r="O162" s="7"/>
      <c r="P162" s="5"/>
    </row>
    <row r="163" spans="1:16" ht="25">
      <c r="A163" s="5">
        <v>159</v>
      </c>
      <c r="B163" s="8" t="s">
        <v>978</v>
      </c>
      <c r="C163" s="6" t="s">
        <v>944</v>
      </c>
      <c r="D163" s="6" t="s">
        <v>945</v>
      </c>
      <c r="E163" s="6" t="s">
        <v>964</v>
      </c>
      <c r="F163" s="6" t="s">
        <v>979</v>
      </c>
      <c r="G163" s="40" t="s">
        <v>528</v>
      </c>
      <c r="H163" s="7" t="str">
        <f>INDEX(优化后功能框架!$C$5:$C$37,MATCH($G163,优化后功能框架!$A$5:$A$37,0))</f>
        <v>履历材料(通用)</v>
      </c>
      <c r="I163" s="5" t="str">
        <f>INDEX(优化后功能框架!$F$5:$F$37,MATCH($G163,优化后功能框架!$A$5:$A$37,0))</f>
        <v>成员4</v>
      </c>
      <c r="J163" s="5" t="str">
        <f>INDEX(优化后功能框架!$G$5:$G$37,MATCH($G163,优化后功能框架!$A$5:$A$37,0))</f>
        <v>成员1</v>
      </c>
      <c r="K163" s="7" t="str">
        <f>INDEX(优化后功能框架!$H$5:$H$37,MATCH($G163,优化后功能框架!$A$5:$A$37,0))</f>
        <v>手写复杂页(通用表单组件)</v>
      </c>
      <c r="L163" s="5" t="str">
        <f>INDEX(优化后功能框架!$I$5:$I$37,MATCH($G163,优化后功能框架!$A$5:$A$37,0))</f>
        <v>L2</v>
      </c>
      <c r="M163" s="5" t="str">
        <f>INDEX(优化后功能框架!$J$5:$J$37,MATCH($G163,优化后功能框架!$A$5:$A$37,0))</f>
        <v>P1</v>
      </c>
      <c r="N163" s="5" t="str">
        <f>INDEX(优化后功能框架!$M$5:$M$37,MATCH($G163,优化后功能框架!$A$5:$A$37,0))</f>
        <v>D6</v>
      </c>
      <c r="O163" s="7"/>
      <c r="P163" s="5"/>
    </row>
    <row r="164" spans="1:16" ht="25">
      <c r="A164" s="5">
        <v>160</v>
      </c>
      <c r="B164" s="8" t="s">
        <v>980</v>
      </c>
      <c r="C164" s="6" t="s">
        <v>944</v>
      </c>
      <c r="D164" s="6" t="s">
        <v>945</v>
      </c>
      <c r="E164" s="6" t="s">
        <v>964</v>
      </c>
      <c r="F164" s="6" t="s">
        <v>981</v>
      </c>
      <c r="G164" s="40" t="s">
        <v>528</v>
      </c>
      <c r="H164" s="7" t="str">
        <f>INDEX(优化后功能框架!$C$5:$C$37,MATCH($G164,优化后功能框架!$A$5:$A$37,0))</f>
        <v>履历材料(通用)</v>
      </c>
      <c r="I164" s="5" t="str">
        <f>INDEX(优化后功能框架!$F$5:$F$37,MATCH($G164,优化后功能框架!$A$5:$A$37,0))</f>
        <v>成员4</v>
      </c>
      <c r="J164" s="5" t="str">
        <f>INDEX(优化后功能框架!$G$5:$G$37,MATCH($G164,优化后功能框架!$A$5:$A$37,0))</f>
        <v>成员1</v>
      </c>
      <c r="K164" s="7" t="str">
        <f>INDEX(优化后功能框架!$H$5:$H$37,MATCH($G164,优化后功能框架!$A$5:$A$37,0))</f>
        <v>手写复杂页(通用表单组件)</v>
      </c>
      <c r="L164" s="5" t="str">
        <f>INDEX(优化后功能框架!$I$5:$I$37,MATCH($G164,优化后功能框架!$A$5:$A$37,0))</f>
        <v>L2</v>
      </c>
      <c r="M164" s="5" t="str">
        <f>INDEX(优化后功能框架!$J$5:$J$37,MATCH($G164,优化后功能框架!$A$5:$A$37,0))</f>
        <v>P1</v>
      </c>
      <c r="N164" s="5" t="str">
        <f>INDEX(优化后功能框架!$M$5:$M$37,MATCH($G164,优化后功能框架!$A$5:$A$37,0))</f>
        <v>D6</v>
      </c>
      <c r="O164" s="44" t="s">
        <v>982</v>
      </c>
      <c r="P164" s="5"/>
    </row>
    <row r="165" spans="1:16" ht="25">
      <c r="A165" s="5">
        <v>161</v>
      </c>
      <c r="B165" s="8" t="s">
        <v>983</v>
      </c>
      <c r="C165" s="6" t="s">
        <v>944</v>
      </c>
      <c r="D165" s="6" t="s">
        <v>984</v>
      </c>
      <c r="E165" s="6" t="s">
        <v>985</v>
      </c>
      <c r="F165" s="6" t="s">
        <v>986</v>
      </c>
      <c r="G165" s="40" t="s">
        <v>535</v>
      </c>
      <c r="H165" s="7" t="str">
        <f>INDEX(优化后功能框架!$C$5:$C$37,MATCH($G165,优化后功能框架!$A$5:$A$37,0))</f>
        <v>教练员档案</v>
      </c>
      <c r="I165" s="5" t="str">
        <f>INDEX(优化后功能框架!$F$5:$F$37,MATCH($G165,优化后功能框架!$A$5:$A$37,0))</f>
        <v>成员4</v>
      </c>
      <c r="J165" s="5" t="str">
        <f>INDEX(优化后功能框架!$G$5:$G$37,MATCH($G165,优化后功能框架!$A$5:$A$37,0))</f>
        <v>成员1</v>
      </c>
      <c r="K165" s="7" t="str">
        <f>INDEX(优化后功能框架!$H$5:$H$37,MATCH($G165,优化后功能框架!$A$5:$A$37,0))</f>
        <v>手写复杂页</v>
      </c>
      <c r="L165" s="5" t="str">
        <f>INDEX(优化后功能框架!$I$5:$I$37,MATCH($G165,优化后功能框架!$A$5:$A$37,0))</f>
        <v>L1</v>
      </c>
      <c r="M165" s="5" t="str">
        <f>INDEX(优化后功能框架!$J$5:$J$37,MATCH($G165,优化后功能框架!$A$5:$A$37,0))</f>
        <v>P0</v>
      </c>
      <c r="N165" s="5" t="str">
        <f>INDEX(优化后功能框架!$M$5:$M$37,MATCH($G165,优化后功能框架!$A$5:$A$37,0))</f>
        <v>D3</v>
      </c>
      <c r="O165" s="7"/>
      <c r="P165" s="5"/>
    </row>
    <row r="166" spans="1:16" ht="25">
      <c r="A166" s="5">
        <v>162</v>
      </c>
      <c r="B166" s="8" t="s">
        <v>987</v>
      </c>
      <c r="C166" s="6" t="s">
        <v>944</v>
      </c>
      <c r="D166" s="6" t="s">
        <v>984</v>
      </c>
      <c r="E166" s="6" t="s">
        <v>985</v>
      </c>
      <c r="F166" s="6" t="s">
        <v>988</v>
      </c>
      <c r="G166" s="40" t="s">
        <v>535</v>
      </c>
      <c r="H166" s="7" t="str">
        <f>INDEX(优化后功能框架!$C$5:$C$37,MATCH($G166,优化后功能框架!$A$5:$A$37,0))</f>
        <v>教练员档案</v>
      </c>
      <c r="I166" s="5" t="str">
        <f>INDEX(优化后功能框架!$F$5:$F$37,MATCH($G166,优化后功能框架!$A$5:$A$37,0))</f>
        <v>成员4</v>
      </c>
      <c r="J166" s="5" t="str">
        <f>INDEX(优化后功能框架!$G$5:$G$37,MATCH($G166,优化后功能框架!$A$5:$A$37,0))</f>
        <v>成员1</v>
      </c>
      <c r="K166" s="7" t="str">
        <f>INDEX(优化后功能框架!$H$5:$H$37,MATCH($G166,优化后功能框架!$A$5:$A$37,0))</f>
        <v>手写复杂页</v>
      </c>
      <c r="L166" s="5" t="str">
        <f>INDEX(优化后功能框架!$I$5:$I$37,MATCH($G166,优化后功能框架!$A$5:$A$37,0))</f>
        <v>L1</v>
      </c>
      <c r="M166" s="5" t="str">
        <f>INDEX(优化后功能框架!$J$5:$J$37,MATCH($G166,优化后功能框架!$A$5:$A$37,0))</f>
        <v>P0</v>
      </c>
      <c r="N166" s="5" t="str">
        <f>INDEX(优化后功能框架!$M$5:$M$37,MATCH($G166,优化后功能框架!$A$5:$A$37,0))</f>
        <v>D3</v>
      </c>
      <c r="O166" s="7"/>
      <c r="P166" s="5"/>
    </row>
    <row r="167" spans="1:16" ht="25">
      <c r="A167" s="5">
        <v>163</v>
      </c>
      <c r="B167" s="8" t="s">
        <v>989</v>
      </c>
      <c r="C167" s="6" t="s">
        <v>944</v>
      </c>
      <c r="D167" s="6" t="s">
        <v>984</v>
      </c>
      <c r="E167" s="6" t="s">
        <v>985</v>
      </c>
      <c r="F167" s="6" t="s">
        <v>990</v>
      </c>
      <c r="G167" s="40" t="s">
        <v>535</v>
      </c>
      <c r="H167" s="7" t="str">
        <f>INDEX(优化后功能框架!$C$5:$C$37,MATCH($G167,优化后功能框架!$A$5:$A$37,0))</f>
        <v>教练员档案</v>
      </c>
      <c r="I167" s="5" t="str">
        <f>INDEX(优化后功能框架!$F$5:$F$37,MATCH($G167,优化后功能框架!$A$5:$A$37,0))</f>
        <v>成员4</v>
      </c>
      <c r="J167" s="5" t="str">
        <f>INDEX(优化后功能框架!$G$5:$G$37,MATCH($G167,优化后功能框架!$A$5:$A$37,0))</f>
        <v>成员1</v>
      </c>
      <c r="K167" s="7" t="str">
        <f>INDEX(优化后功能框架!$H$5:$H$37,MATCH($G167,优化后功能框架!$A$5:$A$37,0))</f>
        <v>手写复杂页</v>
      </c>
      <c r="L167" s="5" t="str">
        <f>INDEX(优化后功能框架!$I$5:$I$37,MATCH($G167,优化后功能框架!$A$5:$A$37,0))</f>
        <v>L1</v>
      </c>
      <c r="M167" s="5" t="str">
        <f>INDEX(优化后功能框架!$J$5:$J$37,MATCH($G167,优化后功能框架!$A$5:$A$37,0))</f>
        <v>P0</v>
      </c>
      <c r="N167" s="5" t="str">
        <f>INDEX(优化后功能框架!$M$5:$M$37,MATCH($G167,优化后功能框架!$A$5:$A$37,0))</f>
        <v>D3</v>
      </c>
      <c r="O167" s="7"/>
      <c r="P167" s="5"/>
    </row>
    <row r="168" spans="1:16" ht="25">
      <c r="A168" s="5">
        <v>164</v>
      </c>
      <c r="B168" s="8" t="s">
        <v>991</v>
      </c>
      <c r="C168" s="6" t="s">
        <v>944</v>
      </c>
      <c r="D168" s="6" t="s">
        <v>984</v>
      </c>
      <c r="E168" s="6" t="s">
        <v>985</v>
      </c>
      <c r="F168" s="6" t="s">
        <v>992</v>
      </c>
      <c r="G168" s="40" t="s">
        <v>535</v>
      </c>
      <c r="H168" s="7" t="str">
        <f>INDEX(优化后功能框架!$C$5:$C$37,MATCH($G168,优化后功能框架!$A$5:$A$37,0))</f>
        <v>教练员档案</v>
      </c>
      <c r="I168" s="5" t="str">
        <f>INDEX(优化后功能框架!$F$5:$F$37,MATCH($G168,优化后功能框架!$A$5:$A$37,0))</f>
        <v>成员4</v>
      </c>
      <c r="J168" s="5" t="str">
        <f>INDEX(优化后功能框架!$G$5:$G$37,MATCH($G168,优化后功能框架!$A$5:$A$37,0))</f>
        <v>成员1</v>
      </c>
      <c r="K168" s="7" t="str">
        <f>INDEX(优化后功能框架!$H$5:$H$37,MATCH($G168,优化后功能框架!$A$5:$A$37,0))</f>
        <v>手写复杂页</v>
      </c>
      <c r="L168" s="5" t="str">
        <f>INDEX(优化后功能框架!$I$5:$I$37,MATCH($G168,优化后功能框架!$A$5:$A$37,0))</f>
        <v>L1</v>
      </c>
      <c r="M168" s="5" t="str">
        <f>INDEX(优化后功能框架!$J$5:$J$37,MATCH($G168,优化后功能框架!$A$5:$A$37,0))</f>
        <v>P0</v>
      </c>
      <c r="N168" s="5" t="str">
        <f>INDEX(优化后功能框架!$M$5:$M$37,MATCH($G168,优化后功能框架!$A$5:$A$37,0))</f>
        <v>D3</v>
      </c>
      <c r="O168" s="7"/>
      <c r="P168" s="5"/>
    </row>
    <row r="169" spans="1:16" ht="25">
      <c r="A169" s="5">
        <v>165</v>
      </c>
      <c r="B169" s="8" t="s">
        <v>993</v>
      </c>
      <c r="C169" s="6" t="s">
        <v>944</v>
      </c>
      <c r="D169" s="6" t="s">
        <v>984</v>
      </c>
      <c r="E169" s="6" t="s">
        <v>985</v>
      </c>
      <c r="F169" s="6" t="s">
        <v>994</v>
      </c>
      <c r="G169" s="40" t="s">
        <v>535</v>
      </c>
      <c r="H169" s="7" t="str">
        <f>INDEX(优化后功能框架!$C$5:$C$37,MATCH($G169,优化后功能框架!$A$5:$A$37,0))</f>
        <v>教练员档案</v>
      </c>
      <c r="I169" s="5" t="str">
        <f>INDEX(优化后功能框架!$F$5:$F$37,MATCH($G169,优化后功能框架!$A$5:$A$37,0))</f>
        <v>成员4</v>
      </c>
      <c r="J169" s="5" t="str">
        <f>INDEX(优化后功能框架!$G$5:$G$37,MATCH($G169,优化后功能框架!$A$5:$A$37,0))</f>
        <v>成员1</v>
      </c>
      <c r="K169" s="7" t="str">
        <f>INDEX(优化后功能框架!$H$5:$H$37,MATCH($G169,优化后功能框架!$A$5:$A$37,0))</f>
        <v>手写复杂页</v>
      </c>
      <c r="L169" s="5" t="str">
        <f>INDEX(优化后功能框架!$I$5:$I$37,MATCH($G169,优化后功能框架!$A$5:$A$37,0))</f>
        <v>L1</v>
      </c>
      <c r="M169" s="5" t="str">
        <f>INDEX(优化后功能框架!$J$5:$J$37,MATCH($G169,优化后功能框架!$A$5:$A$37,0))</f>
        <v>P0</v>
      </c>
      <c r="N169" s="5" t="str">
        <f>INDEX(优化后功能框架!$M$5:$M$37,MATCH($G169,优化后功能框架!$A$5:$A$37,0))</f>
        <v>D3</v>
      </c>
      <c r="O169" s="7"/>
      <c r="P169" s="5"/>
    </row>
    <row r="170" spans="1:16" ht="25">
      <c r="A170" s="5">
        <v>166</v>
      </c>
      <c r="B170" s="8" t="s">
        <v>995</v>
      </c>
      <c r="C170" s="6" t="s">
        <v>944</v>
      </c>
      <c r="D170" s="6" t="s">
        <v>984</v>
      </c>
      <c r="E170" s="6" t="s">
        <v>985</v>
      </c>
      <c r="F170" s="6" t="s">
        <v>996</v>
      </c>
      <c r="G170" s="40" t="s">
        <v>535</v>
      </c>
      <c r="H170" s="7" t="str">
        <f>INDEX(优化后功能框架!$C$5:$C$37,MATCH($G170,优化后功能框架!$A$5:$A$37,0))</f>
        <v>教练员档案</v>
      </c>
      <c r="I170" s="5" t="str">
        <f>INDEX(优化后功能框架!$F$5:$F$37,MATCH($G170,优化后功能框架!$A$5:$A$37,0))</f>
        <v>成员4</v>
      </c>
      <c r="J170" s="5" t="str">
        <f>INDEX(优化后功能框架!$G$5:$G$37,MATCH($G170,优化后功能框架!$A$5:$A$37,0))</f>
        <v>成员1</v>
      </c>
      <c r="K170" s="7" t="str">
        <f>INDEX(优化后功能框架!$H$5:$H$37,MATCH($G170,优化后功能框架!$A$5:$A$37,0))</f>
        <v>手写复杂页</v>
      </c>
      <c r="L170" s="5" t="str">
        <f>INDEX(优化后功能框架!$I$5:$I$37,MATCH($G170,优化后功能框架!$A$5:$A$37,0))</f>
        <v>L1</v>
      </c>
      <c r="M170" s="5" t="str">
        <f>INDEX(优化后功能框架!$J$5:$J$37,MATCH($G170,优化后功能框架!$A$5:$A$37,0))</f>
        <v>P0</v>
      </c>
      <c r="N170" s="5" t="str">
        <f>INDEX(优化后功能框架!$M$5:$M$37,MATCH($G170,优化后功能框架!$A$5:$A$37,0))</f>
        <v>D3</v>
      </c>
      <c r="O170" s="7"/>
      <c r="P170" s="5"/>
    </row>
    <row r="171" spans="1:16" ht="25">
      <c r="A171" s="5">
        <v>167</v>
      </c>
      <c r="B171" s="8" t="s">
        <v>997</v>
      </c>
      <c r="C171" s="6" t="s">
        <v>944</v>
      </c>
      <c r="D171" s="6" t="s">
        <v>984</v>
      </c>
      <c r="E171" s="6" t="s">
        <v>998</v>
      </c>
      <c r="F171" s="6" t="s">
        <v>999</v>
      </c>
      <c r="G171" s="40" t="s">
        <v>528</v>
      </c>
      <c r="H171" s="7" t="str">
        <f>INDEX(优化后功能框架!$C$5:$C$37,MATCH($G171,优化后功能框架!$A$5:$A$37,0))</f>
        <v>履历材料(通用)</v>
      </c>
      <c r="I171" s="5" t="str">
        <f>INDEX(优化后功能框架!$F$5:$F$37,MATCH($G171,优化后功能框架!$A$5:$A$37,0))</f>
        <v>成员4</v>
      </c>
      <c r="J171" s="5" t="str">
        <f>INDEX(优化后功能框架!$G$5:$G$37,MATCH($G171,优化后功能框架!$A$5:$A$37,0))</f>
        <v>成员1</v>
      </c>
      <c r="K171" s="7" t="str">
        <f>INDEX(优化后功能框架!$H$5:$H$37,MATCH($G171,优化后功能框架!$A$5:$A$37,0))</f>
        <v>手写复杂页(通用表单组件)</v>
      </c>
      <c r="L171" s="5" t="str">
        <f>INDEX(优化后功能框架!$I$5:$I$37,MATCH($G171,优化后功能框架!$A$5:$A$37,0))</f>
        <v>L2</v>
      </c>
      <c r="M171" s="5" t="str">
        <f>INDEX(优化后功能框架!$J$5:$J$37,MATCH($G171,优化后功能框架!$A$5:$A$37,0))</f>
        <v>P1</v>
      </c>
      <c r="N171" s="5" t="str">
        <f>INDEX(优化后功能框架!$M$5:$M$37,MATCH($G171,优化后功能框架!$A$5:$A$37,0))</f>
        <v>D6</v>
      </c>
      <c r="O171" s="7"/>
      <c r="P171" s="5"/>
    </row>
    <row r="172" spans="1:16" ht="25">
      <c r="A172" s="5">
        <v>168</v>
      </c>
      <c r="B172" s="8" t="s">
        <v>1000</v>
      </c>
      <c r="C172" s="6" t="s">
        <v>944</v>
      </c>
      <c r="D172" s="6" t="s">
        <v>984</v>
      </c>
      <c r="E172" s="6" t="s">
        <v>998</v>
      </c>
      <c r="F172" s="6" t="s">
        <v>1001</v>
      </c>
      <c r="G172" s="40" t="s">
        <v>528</v>
      </c>
      <c r="H172" s="7" t="str">
        <f>INDEX(优化后功能框架!$C$5:$C$37,MATCH($G172,优化后功能框架!$A$5:$A$37,0))</f>
        <v>履历材料(通用)</v>
      </c>
      <c r="I172" s="5" t="str">
        <f>INDEX(优化后功能框架!$F$5:$F$37,MATCH($G172,优化后功能框架!$A$5:$A$37,0))</f>
        <v>成员4</v>
      </c>
      <c r="J172" s="5" t="str">
        <f>INDEX(优化后功能框架!$G$5:$G$37,MATCH($G172,优化后功能框架!$A$5:$A$37,0))</f>
        <v>成员1</v>
      </c>
      <c r="K172" s="7" t="str">
        <f>INDEX(优化后功能框架!$H$5:$H$37,MATCH($G172,优化后功能框架!$A$5:$A$37,0))</f>
        <v>手写复杂页(通用表单组件)</v>
      </c>
      <c r="L172" s="5" t="str">
        <f>INDEX(优化后功能框架!$I$5:$I$37,MATCH($G172,优化后功能框架!$A$5:$A$37,0))</f>
        <v>L2</v>
      </c>
      <c r="M172" s="5" t="str">
        <f>INDEX(优化后功能框架!$J$5:$J$37,MATCH($G172,优化后功能框架!$A$5:$A$37,0))</f>
        <v>P1</v>
      </c>
      <c r="N172" s="5" t="str">
        <f>INDEX(优化后功能框架!$M$5:$M$37,MATCH($G172,优化后功能框架!$A$5:$A$37,0))</f>
        <v>D6</v>
      </c>
      <c r="O172" s="7"/>
      <c r="P172" s="5"/>
    </row>
    <row r="173" spans="1:16" ht="25">
      <c r="A173" s="5">
        <v>169</v>
      </c>
      <c r="B173" s="8" t="s">
        <v>1002</v>
      </c>
      <c r="C173" s="6" t="s">
        <v>944</v>
      </c>
      <c r="D173" s="6" t="s">
        <v>984</v>
      </c>
      <c r="E173" s="6" t="s">
        <v>998</v>
      </c>
      <c r="F173" s="6" t="s">
        <v>1003</v>
      </c>
      <c r="G173" s="40" t="s">
        <v>528</v>
      </c>
      <c r="H173" s="7" t="str">
        <f>INDEX(优化后功能框架!$C$5:$C$37,MATCH($G173,优化后功能框架!$A$5:$A$37,0))</f>
        <v>履历材料(通用)</v>
      </c>
      <c r="I173" s="5" t="str">
        <f>INDEX(优化后功能框架!$F$5:$F$37,MATCH($G173,优化后功能框架!$A$5:$A$37,0))</f>
        <v>成员4</v>
      </c>
      <c r="J173" s="5" t="str">
        <f>INDEX(优化后功能框架!$G$5:$G$37,MATCH($G173,优化后功能框架!$A$5:$A$37,0))</f>
        <v>成员1</v>
      </c>
      <c r="K173" s="7" t="str">
        <f>INDEX(优化后功能框架!$H$5:$H$37,MATCH($G173,优化后功能框架!$A$5:$A$37,0))</f>
        <v>手写复杂页(通用表单组件)</v>
      </c>
      <c r="L173" s="5" t="str">
        <f>INDEX(优化后功能框架!$I$5:$I$37,MATCH($G173,优化后功能框架!$A$5:$A$37,0))</f>
        <v>L2</v>
      </c>
      <c r="M173" s="5" t="str">
        <f>INDEX(优化后功能框架!$J$5:$J$37,MATCH($G173,优化后功能框架!$A$5:$A$37,0))</f>
        <v>P1</v>
      </c>
      <c r="N173" s="5" t="str">
        <f>INDEX(优化后功能框架!$M$5:$M$37,MATCH($G173,优化后功能框架!$A$5:$A$37,0))</f>
        <v>D6</v>
      </c>
      <c r="O173" s="7"/>
      <c r="P173" s="5"/>
    </row>
    <row r="174" spans="1:16" ht="25">
      <c r="A174" s="5">
        <v>170</v>
      </c>
      <c r="B174" s="8" t="s">
        <v>1004</v>
      </c>
      <c r="C174" s="6" t="s">
        <v>944</v>
      </c>
      <c r="D174" s="6" t="s">
        <v>984</v>
      </c>
      <c r="E174" s="6" t="s">
        <v>998</v>
      </c>
      <c r="F174" s="6" t="s">
        <v>1005</v>
      </c>
      <c r="G174" s="40" t="s">
        <v>528</v>
      </c>
      <c r="H174" s="7" t="str">
        <f>INDEX(优化后功能框架!$C$5:$C$37,MATCH($G174,优化后功能框架!$A$5:$A$37,0))</f>
        <v>履历材料(通用)</v>
      </c>
      <c r="I174" s="5" t="str">
        <f>INDEX(优化后功能框架!$F$5:$F$37,MATCH($G174,优化后功能框架!$A$5:$A$37,0))</f>
        <v>成员4</v>
      </c>
      <c r="J174" s="5" t="str">
        <f>INDEX(优化后功能框架!$G$5:$G$37,MATCH($G174,优化后功能框架!$A$5:$A$37,0))</f>
        <v>成员1</v>
      </c>
      <c r="K174" s="7" t="str">
        <f>INDEX(优化后功能框架!$H$5:$H$37,MATCH($G174,优化后功能框架!$A$5:$A$37,0))</f>
        <v>手写复杂页(通用表单组件)</v>
      </c>
      <c r="L174" s="5" t="str">
        <f>INDEX(优化后功能框架!$I$5:$I$37,MATCH($G174,优化后功能框架!$A$5:$A$37,0))</f>
        <v>L2</v>
      </c>
      <c r="M174" s="5" t="str">
        <f>INDEX(优化后功能框架!$J$5:$J$37,MATCH($G174,优化后功能框架!$A$5:$A$37,0))</f>
        <v>P1</v>
      </c>
      <c r="N174" s="5" t="str">
        <f>INDEX(优化后功能框架!$M$5:$M$37,MATCH($G174,优化后功能框架!$A$5:$A$37,0))</f>
        <v>D6</v>
      </c>
      <c r="O174" s="7"/>
      <c r="P174" s="5"/>
    </row>
    <row r="175" spans="1:16" ht="25">
      <c r="A175" s="5">
        <v>171</v>
      </c>
      <c r="B175" s="8" t="s">
        <v>1006</v>
      </c>
      <c r="C175" s="6" t="s">
        <v>944</v>
      </c>
      <c r="D175" s="6" t="s">
        <v>984</v>
      </c>
      <c r="E175" s="6" t="s">
        <v>998</v>
      </c>
      <c r="F175" s="6" t="s">
        <v>1007</v>
      </c>
      <c r="G175" s="40" t="s">
        <v>528</v>
      </c>
      <c r="H175" s="7" t="str">
        <f>INDEX(优化后功能框架!$C$5:$C$37,MATCH($G175,优化后功能框架!$A$5:$A$37,0))</f>
        <v>履历材料(通用)</v>
      </c>
      <c r="I175" s="5" t="str">
        <f>INDEX(优化后功能框架!$F$5:$F$37,MATCH($G175,优化后功能框架!$A$5:$A$37,0))</f>
        <v>成员4</v>
      </c>
      <c r="J175" s="5" t="str">
        <f>INDEX(优化后功能框架!$G$5:$G$37,MATCH($G175,优化后功能框架!$A$5:$A$37,0))</f>
        <v>成员1</v>
      </c>
      <c r="K175" s="7" t="str">
        <f>INDEX(优化后功能框架!$H$5:$H$37,MATCH($G175,优化后功能框架!$A$5:$A$37,0))</f>
        <v>手写复杂页(通用表单组件)</v>
      </c>
      <c r="L175" s="5" t="str">
        <f>INDEX(优化后功能框架!$I$5:$I$37,MATCH($G175,优化后功能框架!$A$5:$A$37,0))</f>
        <v>L2</v>
      </c>
      <c r="M175" s="5" t="str">
        <f>INDEX(优化后功能框架!$J$5:$J$37,MATCH($G175,优化后功能框架!$A$5:$A$37,0))</f>
        <v>P1</v>
      </c>
      <c r="N175" s="5" t="str">
        <f>INDEX(优化后功能框架!$M$5:$M$37,MATCH($G175,优化后功能框架!$A$5:$A$37,0))</f>
        <v>D6</v>
      </c>
      <c r="O175" s="7"/>
      <c r="P175" s="5"/>
    </row>
    <row r="176" spans="1:16" ht="25">
      <c r="A176" s="5">
        <v>172</v>
      </c>
      <c r="B176" s="8" t="s">
        <v>1008</v>
      </c>
      <c r="C176" s="6" t="s">
        <v>944</v>
      </c>
      <c r="D176" s="6" t="s">
        <v>984</v>
      </c>
      <c r="E176" s="6" t="s">
        <v>998</v>
      </c>
      <c r="F176" s="6" t="s">
        <v>1009</v>
      </c>
      <c r="G176" s="40" t="s">
        <v>528</v>
      </c>
      <c r="H176" s="7" t="str">
        <f>INDEX(优化后功能框架!$C$5:$C$37,MATCH($G176,优化后功能框架!$A$5:$A$37,0))</f>
        <v>履历材料(通用)</v>
      </c>
      <c r="I176" s="5" t="str">
        <f>INDEX(优化后功能框架!$F$5:$F$37,MATCH($G176,优化后功能框架!$A$5:$A$37,0))</f>
        <v>成员4</v>
      </c>
      <c r="J176" s="5" t="str">
        <f>INDEX(优化后功能框架!$G$5:$G$37,MATCH($G176,优化后功能框架!$A$5:$A$37,0))</f>
        <v>成员1</v>
      </c>
      <c r="K176" s="7" t="str">
        <f>INDEX(优化后功能框架!$H$5:$H$37,MATCH($G176,优化后功能框架!$A$5:$A$37,0))</f>
        <v>手写复杂页(通用表单组件)</v>
      </c>
      <c r="L176" s="5" t="str">
        <f>INDEX(优化后功能框架!$I$5:$I$37,MATCH($G176,优化后功能框架!$A$5:$A$37,0))</f>
        <v>L2</v>
      </c>
      <c r="M176" s="5" t="str">
        <f>INDEX(优化后功能框架!$J$5:$J$37,MATCH($G176,优化后功能框架!$A$5:$A$37,0))</f>
        <v>P1</v>
      </c>
      <c r="N176" s="5" t="str">
        <f>INDEX(优化后功能框架!$M$5:$M$37,MATCH($G176,优化后功能框架!$A$5:$A$37,0))</f>
        <v>D6</v>
      </c>
      <c r="O176" s="7"/>
      <c r="P176" s="5"/>
    </row>
    <row r="177" spans="1:16" ht="25">
      <c r="A177" s="5">
        <v>173</v>
      </c>
      <c r="B177" s="8" t="s">
        <v>1010</v>
      </c>
      <c r="C177" s="6" t="s">
        <v>944</v>
      </c>
      <c r="D177" s="6" t="s">
        <v>984</v>
      </c>
      <c r="E177" s="6" t="s">
        <v>998</v>
      </c>
      <c r="F177" s="6" t="s">
        <v>1011</v>
      </c>
      <c r="G177" s="40" t="s">
        <v>528</v>
      </c>
      <c r="H177" s="7" t="str">
        <f>INDEX(优化后功能框架!$C$5:$C$37,MATCH($G177,优化后功能框架!$A$5:$A$37,0))</f>
        <v>履历材料(通用)</v>
      </c>
      <c r="I177" s="5" t="str">
        <f>INDEX(优化后功能框架!$F$5:$F$37,MATCH($G177,优化后功能框架!$A$5:$A$37,0))</f>
        <v>成员4</v>
      </c>
      <c r="J177" s="5" t="str">
        <f>INDEX(优化后功能框架!$G$5:$G$37,MATCH($G177,优化后功能框架!$A$5:$A$37,0))</f>
        <v>成员1</v>
      </c>
      <c r="K177" s="7" t="str">
        <f>INDEX(优化后功能框架!$H$5:$H$37,MATCH($G177,优化后功能框架!$A$5:$A$37,0))</f>
        <v>手写复杂页(通用表单组件)</v>
      </c>
      <c r="L177" s="5" t="str">
        <f>INDEX(优化后功能框架!$I$5:$I$37,MATCH($G177,优化后功能框架!$A$5:$A$37,0))</f>
        <v>L2</v>
      </c>
      <c r="M177" s="5" t="str">
        <f>INDEX(优化后功能框架!$J$5:$J$37,MATCH($G177,优化后功能框架!$A$5:$A$37,0))</f>
        <v>P1</v>
      </c>
      <c r="N177" s="5" t="str">
        <f>INDEX(优化后功能框架!$M$5:$M$37,MATCH($G177,优化后功能框架!$A$5:$A$37,0))</f>
        <v>D6</v>
      </c>
      <c r="O177" s="7"/>
      <c r="P177" s="5"/>
    </row>
    <row r="178" spans="1:16" ht="25">
      <c r="A178" s="5">
        <v>174</v>
      </c>
      <c r="B178" s="8" t="s">
        <v>1012</v>
      </c>
      <c r="C178" s="6" t="s">
        <v>944</v>
      </c>
      <c r="D178" s="6" t="s">
        <v>984</v>
      </c>
      <c r="E178" s="6" t="s">
        <v>998</v>
      </c>
      <c r="F178" s="6" t="s">
        <v>1013</v>
      </c>
      <c r="G178" s="40" t="s">
        <v>528</v>
      </c>
      <c r="H178" s="7" t="str">
        <f>INDEX(优化后功能框架!$C$5:$C$37,MATCH($G178,优化后功能框架!$A$5:$A$37,0))</f>
        <v>履历材料(通用)</v>
      </c>
      <c r="I178" s="5" t="str">
        <f>INDEX(优化后功能框架!$F$5:$F$37,MATCH($G178,优化后功能框架!$A$5:$A$37,0))</f>
        <v>成员4</v>
      </c>
      <c r="J178" s="5" t="str">
        <f>INDEX(优化后功能框架!$G$5:$G$37,MATCH($G178,优化后功能框架!$A$5:$A$37,0))</f>
        <v>成员1</v>
      </c>
      <c r="K178" s="7" t="str">
        <f>INDEX(优化后功能框架!$H$5:$H$37,MATCH($G178,优化后功能框架!$A$5:$A$37,0))</f>
        <v>手写复杂页(通用表单组件)</v>
      </c>
      <c r="L178" s="5" t="str">
        <f>INDEX(优化后功能框架!$I$5:$I$37,MATCH($G178,优化后功能框架!$A$5:$A$37,0))</f>
        <v>L2</v>
      </c>
      <c r="M178" s="5" t="str">
        <f>INDEX(优化后功能框架!$J$5:$J$37,MATCH($G178,优化后功能框架!$A$5:$A$37,0))</f>
        <v>P1</v>
      </c>
      <c r="N178" s="5" t="str">
        <f>INDEX(优化后功能框架!$M$5:$M$37,MATCH($G178,优化后功能框架!$A$5:$A$37,0))</f>
        <v>D6</v>
      </c>
      <c r="O178" s="7"/>
      <c r="P178" s="5"/>
    </row>
    <row r="179" spans="1:16" ht="25">
      <c r="A179" s="5">
        <v>175</v>
      </c>
      <c r="B179" s="8" t="s">
        <v>1014</v>
      </c>
      <c r="C179" s="6" t="s">
        <v>944</v>
      </c>
      <c r="D179" s="6" t="s">
        <v>984</v>
      </c>
      <c r="E179" s="6" t="s">
        <v>998</v>
      </c>
      <c r="F179" s="6" t="s">
        <v>1015</v>
      </c>
      <c r="G179" s="40" t="s">
        <v>528</v>
      </c>
      <c r="H179" s="7" t="str">
        <f>INDEX(优化后功能框架!$C$5:$C$37,MATCH($G179,优化后功能框架!$A$5:$A$37,0))</f>
        <v>履历材料(通用)</v>
      </c>
      <c r="I179" s="5" t="str">
        <f>INDEX(优化后功能框架!$F$5:$F$37,MATCH($G179,优化后功能框架!$A$5:$A$37,0))</f>
        <v>成员4</v>
      </c>
      <c r="J179" s="5" t="str">
        <f>INDEX(优化后功能框架!$G$5:$G$37,MATCH($G179,优化后功能框架!$A$5:$A$37,0))</f>
        <v>成员1</v>
      </c>
      <c r="K179" s="7" t="str">
        <f>INDEX(优化后功能框架!$H$5:$H$37,MATCH($G179,优化后功能框架!$A$5:$A$37,0))</f>
        <v>手写复杂页(通用表单组件)</v>
      </c>
      <c r="L179" s="5" t="str">
        <f>INDEX(优化后功能框架!$I$5:$I$37,MATCH($G179,优化后功能框架!$A$5:$A$37,0))</f>
        <v>L2</v>
      </c>
      <c r="M179" s="5" t="str">
        <f>INDEX(优化后功能框架!$J$5:$J$37,MATCH($G179,优化后功能框架!$A$5:$A$37,0))</f>
        <v>P1</v>
      </c>
      <c r="N179" s="5" t="str">
        <f>INDEX(优化后功能框架!$M$5:$M$37,MATCH($G179,优化后功能框架!$A$5:$A$37,0))</f>
        <v>D6</v>
      </c>
      <c r="O179" s="7"/>
      <c r="P179" s="5"/>
    </row>
    <row r="180" spans="1:16" ht="25">
      <c r="A180" s="5">
        <v>176</v>
      </c>
      <c r="B180" s="8" t="s">
        <v>1016</v>
      </c>
      <c r="C180" s="6" t="s">
        <v>944</v>
      </c>
      <c r="D180" s="6" t="s">
        <v>984</v>
      </c>
      <c r="E180" s="6" t="s">
        <v>998</v>
      </c>
      <c r="F180" s="6" t="s">
        <v>1017</v>
      </c>
      <c r="G180" s="40" t="s">
        <v>528</v>
      </c>
      <c r="H180" s="7" t="str">
        <f>INDEX(优化后功能框架!$C$5:$C$37,MATCH($G180,优化后功能框架!$A$5:$A$37,0))</f>
        <v>履历材料(通用)</v>
      </c>
      <c r="I180" s="5" t="str">
        <f>INDEX(优化后功能框架!$F$5:$F$37,MATCH($G180,优化后功能框架!$A$5:$A$37,0))</f>
        <v>成员4</v>
      </c>
      <c r="J180" s="5" t="str">
        <f>INDEX(优化后功能框架!$G$5:$G$37,MATCH($G180,优化后功能框架!$A$5:$A$37,0))</f>
        <v>成员1</v>
      </c>
      <c r="K180" s="7" t="str">
        <f>INDEX(优化后功能框架!$H$5:$H$37,MATCH($G180,优化后功能框架!$A$5:$A$37,0))</f>
        <v>手写复杂页(通用表单组件)</v>
      </c>
      <c r="L180" s="5" t="str">
        <f>INDEX(优化后功能框架!$I$5:$I$37,MATCH($G180,优化后功能框架!$A$5:$A$37,0))</f>
        <v>L2</v>
      </c>
      <c r="M180" s="5" t="str">
        <f>INDEX(优化后功能框架!$J$5:$J$37,MATCH($G180,优化后功能框架!$A$5:$A$37,0))</f>
        <v>P1</v>
      </c>
      <c r="N180" s="5" t="str">
        <f>INDEX(优化后功能框架!$M$5:$M$37,MATCH($G180,优化后功能框架!$A$5:$A$37,0))</f>
        <v>D6</v>
      </c>
      <c r="O180" s="7"/>
      <c r="P180" s="5"/>
    </row>
    <row r="181" spans="1:16" ht="25">
      <c r="A181" s="5">
        <v>177</v>
      </c>
      <c r="B181" s="8" t="s">
        <v>1018</v>
      </c>
      <c r="C181" s="6" t="s">
        <v>944</v>
      </c>
      <c r="D181" s="6" t="s">
        <v>984</v>
      </c>
      <c r="E181" s="6" t="s">
        <v>1019</v>
      </c>
      <c r="F181" s="6" t="s">
        <v>1020</v>
      </c>
      <c r="G181" s="40" t="s">
        <v>443</v>
      </c>
      <c r="H181" s="7" t="str">
        <f>INDEX(优化后功能框架!$C$5:$C$37,MATCH($G181,优化后功能框架!$A$5:$A$37,0))</f>
        <v>公示</v>
      </c>
      <c r="I181" s="5" t="str">
        <f>INDEX(优化后功能框架!$F$5:$F$37,MATCH($G181,优化后功能框架!$A$5:$A$37,0))</f>
        <v>成员6</v>
      </c>
      <c r="J181" s="5" t="str">
        <f>INDEX(优化后功能框架!$G$5:$G$37,MATCH($G181,优化后功能框架!$A$5:$A$37,0))</f>
        <v>成员6</v>
      </c>
      <c r="K181" s="7" t="str">
        <f>INDEX(优化后功能框架!$H$5:$H$37,MATCH($G181,优化后功能框架!$A$5:$A$37,0))</f>
        <v>生成器标准页+门户页</v>
      </c>
      <c r="L181" s="5" t="str">
        <f>INDEX(优化后功能框架!$I$5:$I$37,MATCH($G181,优化后功能框架!$A$5:$A$37,0))</f>
        <v>L2</v>
      </c>
      <c r="M181" s="5" t="str">
        <f>INDEX(优化后功能框架!$J$5:$J$37,MATCH($G181,优化后功能框架!$A$5:$A$37,0))</f>
        <v>P1</v>
      </c>
      <c r="N181" s="5" t="str">
        <f>INDEX(优化后功能框架!$M$5:$M$37,MATCH($G181,优化后功能框架!$A$5:$A$37,0))</f>
        <v>D6</v>
      </c>
      <c r="O181" s="7"/>
      <c r="P181" s="5"/>
    </row>
    <row r="182" spans="1:16">
      <c r="A182" s="5">
        <v>178</v>
      </c>
      <c r="B182" s="8" t="s">
        <v>1021</v>
      </c>
      <c r="C182" s="6" t="s">
        <v>944</v>
      </c>
      <c r="D182" s="6" t="s">
        <v>649</v>
      </c>
      <c r="E182" s="6" t="s">
        <v>1022</v>
      </c>
      <c r="F182" s="6" t="s">
        <v>1023</v>
      </c>
      <c r="G182" s="40" t="s">
        <v>545</v>
      </c>
      <c r="H182" s="7" t="str">
        <f>INDEX(优化后功能框架!$C$5:$C$37,MATCH($G182,优化后功能框架!$A$5:$A$37,0))</f>
        <v>球队档案</v>
      </c>
      <c r="I182" s="5" t="str">
        <f>INDEX(优化后功能框架!$F$5:$F$37,MATCH($G182,优化后功能框架!$A$5:$A$37,0))</f>
        <v>成员4</v>
      </c>
      <c r="J182" s="5" t="str">
        <f>INDEX(优化后功能框架!$G$5:$G$37,MATCH($G182,优化后功能框架!$A$5:$A$37,0))</f>
        <v>成员4</v>
      </c>
      <c r="K182" s="7" t="str">
        <f>INDEX(优化后功能框架!$H$5:$H$37,MATCH($G182,优化后功能框架!$A$5:$A$37,0))</f>
        <v>生成器标准页</v>
      </c>
      <c r="L182" s="5" t="str">
        <f>INDEX(优化后功能框架!$I$5:$I$37,MATCH($G182,优化后功能框架!$A$5:$A$37,0))</f>
        <v>L1</v>
      </c>
      <c r="M182" s="5" t="str">
        <f>INDEX(优化后功能框架!$J$5:$J$37,MATCH($G182,优化后功能框架!$A$5:$A$37,0))</f>
        <v>P0</v>
      </c>
      <c r="N182" s="5" t="str">
        <f>INDEX(优化后功能框架!$M$5:$M$37,MATCH($G182,优化后功能框架!$A$5:$A$37,0))</f>
        <v>D5</v>
      </c>
      <c r="O182" s="7"/>
      <c r="P182" s="5"/>
    </row>
    <row r="183" spans="1:16">
      <c r="A183" s="5">
        <v>179</v>
      </c>
      <c r="B183" s="8" t="s">
        <v>1024</v>
      </c>
      <c r="C183" s="6" t="s">
        <v>944</v>
      </c>
      <c r="D183" s="6" t="s">
        <v>649</v>
      </c>
      <c r="E183" s="6" t="s">
        <v>1022</v>
      </c>
      <c r="F183" s="6" t="s">
        <v>1025</v>
      </c>
      <c r="G183" s="40" t="s">
        <v>545</v>
      </c>
      <c r="H183" s="7" t="str">
        <f>INDEX(优化后功能框架!$C$5:$C$37,MATCH($G183,优化后功能框架!$A$5:$A$37,0))</f>
        <v>球队档案</v>
      </c>
      <c r="I183" s="5" t="str">
        <f>INDEX(优化后功能框架!$F$5:$F$37,MATCH($G183,优化后功能框架!$A$5:$A$37,0))</f>
        <v>成员4</v>
      </c>
      <c r="J183" s="5" t="str">
        <f>INDEX(优化后功能框架!$G$5:$G$37,MATCH($G183,优化后功能框架!$A$5:$A$37,0))</f>
        <v>成员4</v>
      </c>
      <c r="K183" s="7" t="str">
        <f>INDEX(优化后功能框架!$H$5:$H$37,MATCH($G183,优化后功能框架!$A$5:$A$37,0))</f>
        <v>生成器标准页</v>
      </c>
      <c r="L183" s="5" t="str">
        <f>INDEX(优化后功能框架!$I$5:$I$37,MATCH($G183,优化后功能框架!$A$5:$A$37,0))</f>
        <v>L1</v>
      </c>
      <c r="M183" s="5" t="str">
        <f>INDEX(优化后功能框架!$J$5:$J$37,MATCH($G183,优化后功能框架!$A$5:$A$37,0))</f>
        <v>P0</v>
      </c>
      <c r="N183" s="5" t="str">
        <f>INDEX(优化后功能框架!$M$5:$M$37,MATCH($G183,优化后功能框架!$A$5:$A$37,0))</f>
        <v>D5</v>
      </c>
      <c r="O183" s="7"/>
      <c r="P183" s="5"/>
    </row>
    <row r="184" spans="1:16">
      <c r="A184" s="5">
        <v>180</v>
      </c>
      <c r="B184" s="8" t="s">
        <v>1026</v>
      </c>
      <c r="C184" s="6" t="s">
        <v>944</v>
      </c>
      <c r="D184" s="6" t="s">
        <v>649</v>
      </c>
      <c r="E184" s="6" t="s">
        <v>1022</v>
      </c>
      <c r="F184" s="6" t="s">
        <v>1027</v>
      </c>
      <c r="G184" s="40" t="s">
        <v>545</v>
      </c>
      <c r="H184" s="7" t="str">
        <f>INDEX(优化后功能框架!$C$5:$C$37,MATCH($G184,优化后功能框架!$A$5:$A$37,0))</f>
        <v>球队档案</v>
      </c>
      <c r="I184" s="5" t="str">
        <f>INDEX(优化后功能框架!$F$5:$F$37,MATCH($G184,优化后功能框架!$A$5:$A$37,0))</f>
        <v>成员4</v>
      </c>
      <c r="J184" s="5" t="str">
        <f>INDEX(优化后功能框架!$G$5:$G$37,MATCH($G184,优化后功能框架!$A$5:$A$37,0))</f>
        <v>成员4</v>
      </c>
      <c r="K184" s="7" t="str">
        <f>INDEX(优化后功能框架!$H$5:$H$37,MATCH($G184,优化后功能框架!$A$5:$A$37,0))</f>
        <v>生成器标准页</v>
      </c>
      <c r="L184" s="5" t="str">
        <f>INDEX(优化后功能框架!$I$5:$I$37,MATCH($G184,优化后功能框架!$A$5:$A$37,0))</f>
        <v>L1</v>
      </c>
      <c r="M184" s="5" t="str">
        <f>INDEX(优化后功能框架!$J$5:$J$37,MATCH($G184,优化后功能框架!$A$5:$A$37,0))</f>
        <v>P0</v>
      </c>
      <c r="N184" s="5" t="str">
        <f>INDEX(优化后功能框架!$M$5:$M$37,MATCH($G184,优化后功能框架!$A$5:$A$37,0))</f>
        <v>D5</v>
      </c>
      <c r="O184" s="7"/>
      <c r="P184" s="5"/>
    </row>
    <row r="185" spans="1:16">
      <c r="A185" s="5">
        <v>181</v>
      </c>
      <c r="B185" s="8" t="s">
        <v>1028</v>
      </c>
      <c r="C185" s="6" t="s">
        <v>944</v>
      </c>
      <c r="D185" s="6" t="s">
        <v>649</v>
      </c>
      <c r="E185" s="6" t="s">
        <v>1022</v>
      </c>
      <c r="F185" s="6" t="s">
        <v>1029</v>
      </c>
      <c r="G185" s="40" t="s">
        <v>545</v>
      </c>
      <c r="H185" s="7" t="str">
        <f>INDEX(优化后功能框架!$C$5:$C$37,MATCH($G185,优化后功能框架!$A$5:$A$37,0))</f>
        <v>球队档案</v>
      </c>
      <c r="I185" s="5" t="str">
        <f>INDEX(优化后功能框架!$F$5:$F$37,MATCH($G185,优化后功能框架!$A$5:$A$37,0))</f>
        <v>成员4</v>
      </c>
      <c r="J185" s="5" t="str">
        <f>INDEX(优化后功能框架!$G$5:$G$37,MATCH($G185,优化后功能框架!$A$5:$A$37,0))</f>
        <v>成员4</v>
      </c>
      <c r="K185" s="7" t="str">
        <f>INDEX(优化后功能框架!$H$5:$H$37,MATCH($G185,优化后功能框架!$A$5:$A$37,0))</f>
        <v>生成器标准页</v>
      </c>
      <c r="L185" s="5" t="str">
        <f>INDEX(优化后功能框架!$I$5:$I$37,MATCH($G185,优化后功能框架!$A$5:$A$37,0))</f>
        <v>L1</v>
      </c>
      <c r="M185" s="5" t="str">
        <f>INDEX(优化后功能框架!$J$5:$J$37,MATCH($G185,优化后功能框架!$A$5:$A$37,0))</f>
        <v>P0</v>
      </c>
      <c r="N185" s="5" t="str">
        <f>INDEX(优化后功能框架!$M$5:$M$37,MATCH($G185,优化后功能框架!$A$5:$A$37,0))</f>
        <v>D5</v>
      </c>
      <c r="O185" s="7"/>
      <c r="P185" s="5"/>
    </row>
    <row r="186" spans="1:16">
      <c r="A186" s="5">
        <v>182</v>
      </c>
      <c r="B186" s="8" t="s">
        <v>1030</v>
      </c>
      <c r="C186" s="6" t="s">
        <v>944</v>
      </c>
      <c r="D186" s="6" t="s">
        <v>649</v>
      </c>
      <c r="E186" s="6" t="s">
        <v>1022</v>
      </c>
      <c r="F186" s="6" t="s">
        <v>1031</v>
      </c>
      <c r="G186" s="40" t="s">
        <v>545</v>
      </c>
      <c r="H186" s="7" t="str">
        <f>INDEX(优化后功能框架!$C$5:$C$37,MATCH($G186,优化后功能框架!$A$5:$A$37,0))</f>
        <v>球队档案</v>
      </c>
      <c r="I186" s="5" t="str">
        <f>INDEX(优化后功能框架!$F$5:$F$37,MATCH($G186,优化后功能框架!$A$5:$A$37,0))</f>
        <v>成员4</v>
      </c>
      <c r="J186" s="5" t="str">
        <f>INDEX(优化后功能框架!$G$5:$G$37,MATCH($G186,优化后功能框架!$A$5:$A$37,0))</f>
        <v>成员4</v>
      </c>
      <c r="K186" s="7" t="str">
        <f>INDEX(优化后功能框架!$H$5:$H$37,MATCH($G186,优化后功能框架!$A$5:$A$37,0))</f>
        <v>生成器标准页</v>
      </c>
      <c r="L186" s="5" t="str">
        <f>INDEX(优化后功能框架!$I$5:$I$37,MATCH($G186,优化后功能框架!$A$5:$A$37,0))</f>
        <v>L1</v>
      </c>
      <c r="M186" s="5" t="str">
        <f>INDEX(优化后功能框架!$J$5:$J$37,MATCH($G186,优化后功能框架!$A$5:$A$37,0))</f>
        <v>P0</v>
      </c>
      <c r="N186" s="5" t="str">
        <f>INDEX(优化后功能框架!$M$5:$M$37,MATCH($G186,优化后功能框架!$A$5:$A$37,0))</f>
        <v>D5</v>
      </c>
      <c r="O186" s="7"/>
      <c r="P186" s="5"/>
    </row>
    <row r="187" spans="1:16">
      <c r="A187" s="5">
        <v>183</v>
      </c>
      <c r="B187" s="8" t="s">
        <v>1032</v>
      </c>
      <c r="C187" s="6" t="s">
        <v>944</v>
      </c>
      <c r="D187" s="6" t="s">
        <v>649</v>
      </c>
      <c r="E187" s="6" t="s">
        <v>1033</v>
      </c>
      <c r="F187" s="6" t="s">
        <v>1034</v>
      </c>
      <c r="G187" s="40" t="s">
        <v>550</v>
      </c>
      <c r="H187" s="7" t="str">
        <f>INDEX(优化后功能框架!$C$5:$C$37,MATCH($G187,优化后功能框架!$A$5:$A$37,0))</f>
        <v>球队成员与履历</v>
      </c>
      <c r="I187" s="5" t="str">
        <f>INDEX(优化后功能框架!$F$5:$F$37,MATCH($G187,优化后功能框架!$A$5:$A$37,0))</f>
        <v>成员4</v>
      </c>
      <c r="J187" s="5" t="str">
        <f>INDEX(优化后功能框架!$G$5:$G$37,MATCH($G187,优化后功能框架!$A$5:$A$37,0))</f>
        <v>成员4</v>
      </c>
      <c r="K187" s="7" t="str">
        <f>INDEX(优化后功能框架!$H$5:$H$37,MATCH($G187,优化后功能框架!$A$5:$A$37,0))</f>
        <v>生成器标准页</v>
      </c>
      <c r="L187" s="5" t="str">
        <f>INDEX(优化后功能框架!$I$5:$I$37,MATCH($G187,优化后功能框架!$A$5:$A$37,0))</f>
        <v>L2</v>
      </c>
      <c r="M187" s="5" t="str">
        <f>INDEX(优化后功能框架!$J$5:$J$37,MATCH($G187,优化后功能框架!$A$5:$A$37,0))</f>
        <v>P1</v>
      </c>
      <c r="N187" s="5" t="str">
        <f>INDEX(优化后功能框架!$M$5:$M$37,MATCH($G187,优化后功能框架!$A$5:$A$37,0))</f>
        <v>D6</v>
      </c>
      <c r="O187" s="7"/>
      <c r="P187" s="5"/>
    </row>
    <row r="188" spans="1:16" ht="23">
      <c r="A188" s="5">
        <v>184</v>
      </c>
      <c r="B188" s="8" t="s">
        <v>1035</v>
      </c>
      <c r="C188" s="6" t="s">
        <v>944</v>
      </c>
      <c r="D188" s="6" t="s">
        <v>649</v>
      </c>
      <c r="E188" s="6" t="s">
        <v>1033</v>
      </c>
      <c r="F188" s="6" t="s">
        <v>1036</v>
      </c>
      <c r="G188" s="40" t="s">
        <v>550</v>
      </c>
      <c r="H188" s="7" t="str">
        <f>INDEX(优化后功能框架!$C$5:$C$37,MATCH($G188,优化后功能框架!$A$5:$A$37,0))</f>
        <v>球队成员与履历</v>
      </c>
      <c r="I188" s="5" t="str">
        <f>INDEX(优化后功能框架!$F$5:$F$37,MATCH($G188,优化后功能框架!$A$5:$A$37,0))</f>
        <v>成员4</v>
      </c>
      <c r="J188" s="5" t="str">
        <f>INDEX(优化后功能框架!$G$5:$G$37,MATCH($G188,优化后功能框架!$A$5:$A$37,0))</f>
        <v>成员4</v>
      </c>
      <c r="K188" s="7" t="str">
        <f>INDEX(优化后功能框架!$H$5:$H$37,MATCH($G188,优化后功能框架!$A$5:$A$37,0))</f>
        <v>生成器标准页</v>
      </c>
      <c r="L188" s="5" t="str">
        <f>INDEX(优化后功能框架!$I$5:$I$37,MATCH($G188,优化后功能框架!$A$5:$A$37,0))</f>
        <v>L2</v>
      </c>
      <c r="M188" s="5" t="str">
        <f>INDEX(优化后功能框架!$J$5:$J$37,MATCH($G188,优化后功能框架!$A$5:$A$37,0))</f>
        <v>P1</v>
      </c>
      <c r="N188" s="5" t="str">
        <f>INDEX(优化后功能框架!$M$5:$M$37,MATCH($G188,优化后功能框架!$A$5:$A$37,0))</f>
        <v>D6</v>
      </c>
      <c r="O188" s="44" t="s">
        <v>982</v>
      </c>
      <c r="P188" s="5"/>
    </row>
    <row r="189" spans="1:16">
      <c r="A189" s="5">
        <v>185</v>
      </c>
      <c r="B189" s="8" t="s">
        <v>1037</v>
      </c>
      <c r="C189" s="6" t="s">
        <v>944</v>
      </c>
      <c r="D189" s="6" t="s">
        <v>649</v>
      </c>
      <c r="E189" s="6" t="s">
        <v>1033</v>
      </c>
      <c r="F189" s="6" t="s">
        <v>1038</v>
      </c>
      <c r="G189" s="40" t="s">
        <v>550</v>
      </c>
      <c r="H189" s="7" t="str">
        <f>INDEX(优化后功能框架!$C$5:$C$37,MATCH($G189,优化后功能框架!$A$5:$A$37,0))</f>
        <v>球队成员与履历</v>
      </c>
      <c r="I189" s="5" t="str">
        <f>INDEX(优化后功能框架!$F$5:$F$37,MATCH($G189,优化后功能框架!$A$5:$A$37,0))</f>
        <v>成员4</v>
      </c>
      <c r="J189" s="5" t="str">
        <f>INDEX(优化后功能框架!$G$5:$G$37,MATCH($G189,优化后功能框架!$A$5:$A$37,0))</f>
        <v>成员4</v>
      </c>
      <c r="K189" s="7" t="str">
        <f>INDEX(优化后功能框架!$H$5:$H$37,MATCH($G189,优化后功能框架!$A$5:$A$37,0))</f>
        <v>生成器标准页</v>
      </c>
      <c r="L189" s="5" t="str">
        <f>INDEX(优化后功能框架!$I$5:$I$37,MATCH($G189,优化后功能框架!$A$5:$A$37,0))</f>
        <v>L2</v>
      </c>
      <c r="M189" s="5" t="str">
        <f>INDEX(优化后功能框架!$J$5:$J$37,MATCH($G189,优化后功能框架!$A$5:$A$37,0))</f>
        <v>P1</v>
      </c>
      <c r="N189" s="5" t="str">
        <f>INDEX(优化后功能框架!$M$5:$M$37,MATCH($G189,优化后功能框架!$A$5:$A$37,0))</f>
        <v>D6</v>
      </c>
      <c r="O189" s="7"/>
      <c r="P189" s="5"/>
    </row>
    <row r="190" spans="1:16">
      <c r="A190" s="5">
        <v>186</v>
      </c>
      <c r="B190" s="8" t="s">
        <v>1039</v>
      </c>
      <c r="C190" s="6" t="s">
        <v>944</v>
      </c>
      <c r="D190" s="6" t="s">
        <v>649</v>
      </c>
      <c r="E190" s="6" t="s">
        <v>1033</v>
      </c>
      <c r="F190" s="6" t="s">
        <v>1040</v>
      </c>
      <c r="G190" s="40" t="s">
        <v>550</v>
      </c>
      <c r="H190" s="7" t="str">
        <f>INDEX(优化后功能框架!$C$5:$C$37,MATCH($G190,优化后功能框架!$A$5:$A$37,0))</f>
        <v>球队成员与履历</v>
      </c>
      <c r="I190" s="5" t="str">
        <f>INDEX(优化后功能框架!$F$5:$F$37,MATCH($G190,优化后功能框架!$A$5:$A$37,0))</f>
        <v>成员4</v>
      </c>
      <c r="J190" s="5" t="str">
        <f>INDEX(优化后功能框架!$G$5:$G$37,MATCH($G190,优化后功能框架!$A$5:$A$37,0))</f>
        <v>成员4</v>
      </c>
      <c r="K190" s="7" t="str">
        <f>INDEX(优化后功能框架!$H$5:$H$37,MATCH($G190,优化后功能框架!$A$5:$A$37,0))</f>
        <v>生成器标准页</v>
      </c>
      <c r="L190" s="5" t="str">
        <f>INDEX(优化后功能框架!$I$5:$I$37,MATCH($G190,优化后功能框架!$A$5:$A$37,0))</f>
        <v>L2</v>
      </c>
      <c r="M190" s="5" t="str">
        <f>INDEX(优化后功能框架!$J$5:$J$37,MATCH($G190,优化后功能框架!$A$5:$A$37,0))</f>
        <v>P1</v>
      </c>
      <c r="N190" s="5" t="str">
        <f>INDEX(优化后功能框架!$M$5:$M$37,MATCH($G190,优化后功能框架!$A$5:$A$37,0))</f>
        <v>D6</v>
      </c>
      <c r="O190" s="7"/>
      <c r="P190" s="5"/>
    </row>
    <row r="191" spans="1:16">
      <c r="A191" s="5">
        <v>187</v>
      </c>
      <c r="B191" s="8" t="s">
        <v>1041</v>
      </c>
      <c r="C191" s="6" t="s">
        <v>944</v>
      </c>
      <c r="D191" s="6" t="s">
        <v>649</v>
      </c>
      <c r="E191" s="6" t="s">
        <v>1033</v>
      </c>
      <c r="F191" s="6" t="s">
        <v>1042</v>
      </c>
      <c r="G191" s="40" t="s">
        <v>550</v>
      </c>
      <c r="H191" s="7" t="str">
        <f>INDEX(优化后功能框架!$C$5:$C$37,MATCH($G191,优化后功能框架!$A$5:$A$37,0))</f>
        <v>球队成员与履历</v>
      </c>
      <c r="I191" s="5" t="str">
        <f>INDEX(优化后功能框架!$F$5:$F$37,MATCH($G191,优化后功能框架!$A$5:$A$37,0))</f>
        <v>成员4</v>
      </c>
      <c r="J191" s="5" t="str">
        <f>INDEX(优化后功能框架!$G$5:$G$37,MATCH($G191,优化后功能框架!$A$5:$A$37,0))</f>
        <v>成员4</v>
      </c>
      <c r="K191" s="7" t="str">
        <f>INDEX(优化后功能框架!$H$5:$H$37,MATCH($G191,优化后功能框架!$A$5:$A$37,0))</f>
        <v>生成器标准页</v>
      </c>
      <c r="L191" s="5" t="str">
        <f>INDEX(优化后功能框架!$I$5:$I$37,MATCH($G191,优化后功能框架!$A$5:$A$37,0))</f>
        <v>L2</v>
      </c>
      <c r="M191" s="5" t="str">
        <f>INDEX(优化后功能框架!$J$5:$J$37,MATCH($G191,优化后功能框架!$A$5:$A$37,0))</f>
        <v>P1</v>
      </c>
      <c r="N191" s="5" t="str">
        <f>INDEX(优化后功能框架!$M$5:$M$37,MATCH($G191,优化后功能框架!$A$5:$A$37,0))</f>
        <v>D6</v>
      </c>
      <c r="O191" s="7"/>
      <c r="P191" s="5"/>
    </row>
    <row r="192" spans="1:16">
      <c r="A192" s="5">
        <v>188</v>
      </c>
      <c r="B192" s="8" t="s">
        <v>1043</v>
      </c>
      <c r="C192" s="6" t="s">
        <v>944</v>
      </c>
      <c r="D192" s="6" t="s">
        <v>649</v>
      </c>
      <c r="E192" s="6" t="s">
        <v>1033</v>
      </c>
      <c r="F192" s="6" t="s">
        <v>1044</v>
      </c>
      <c r="G192" s="40" t="s">
        <v>550</v>
      </c>
      <c r="H192" s="7" t="str">
        <f>INDEX(优化后功能框架!$C$5:$C$37,MATCH($G192,优化后功能框架!$A$5:$A$37,0))</f>
        <v>球队成员与履历</v>
      </c>
      <c r="I192" s="5" t="str">
        <f>INDEX(优化后功能框架!$F$5:$F$37,MATCH($G192,优化后功能框架!$A$5:$A$37,0))</f>
        <v>成员4</v>
      </c>
      <c r="J192" s="5" t="str">
        <f>INDEX(优化后功能框架!$G$5:$G$37,MATCH($G192,优化后功能框架!$A$5:$A$37,0))</f>
        <v>成员4</v>
      </c>
      <c r="K192" s="7" t="str">
        <f>INDEX(优化后功能框架!$H$5:$H$37,MATCH($G192,优化后功能框架!$A$5:$A$37,0))</f>
        <v>生成器标准页</v>
      </c>
      <c r="L192" s="5" t="str">
        <f>INDEX(优化后功能框架!$I$5:$I$37,MATCH($G192,优化后功能框架!$A$5:$A$37,0))</f>
        <v>L2</v>
      </c>
      <c r="M192" s="5" t="str">
        <f>INDEX(优化后功能框架!$J$5:$J$37,MATCH($G192,优化后功能框架!$A$5:$A$37,0))</f>
        <v>P1</v>
      </c>
      <c r="N192" s="5" t="str">
        <f>INDEX(优化后功能框架!$M$5:$M$37,MATCH($G192,优化后功能框架!$A$5:$A$37,0))</f>
        <v>D6</v>
      </c>
      <c r="O192" s="7"/>
      <c r="P192" s="5"/>
    </row>
    <row r="193" spans="1:16">
      <c r="A193" s="5">
        <v>189</v>
      </c>
      <c r="B193" s="8" t="s">
        <v>1045</v>
      </c>
      <c r="C193" s="6" t="s">
        <v>944</v>
      </c>
      <c r="D193" s="6" t="s">
        <v>649</v>
      </c>
      <c r="E193" s="6" t="s">
        <v>1033</v>
      </c>
      <c r="F193" s="6" t="s">
        <v>1046</v>
      </c>
      <c r="G193" s="40" t="s">
        <v>550</v>
      </c>
      <c r="H193" s="7" t="str">
        <f>INDEX(优化后功能框架!$C$5:$C$37,MATCH($G193,优化后功能框架!$A$5:$A$37,0))</f>
        <v>球队成员与履历</v>
      </c>
      <c r="I193" s="5" t="str">
        <f>INDEX(优化后功能框架!$F$5:$F$37,MATCH($G193,优化后功能框架!$A$5:$A$37,0))</f>
        <v>成员4</v>
      </c>
      <c r="J193" s="5" t="str">
        <f>INDEX(优化后功能框架!$G$5:$G$37,MATCH($G193,优化后功能框架!$A$5:$A$37,0))</f>
        <v>成员4</v>
      </c>
      <c r="K193" s="7" t="str">
        <f>INDEX(优化后功能框架!$H$5:$H$37,MATCH($G193,优化后功能框架!$A$5:$A$37,0))</f>
        <v>生成器标准页</v>
      </c>
      <c r="L193" s="5" t="str">
        <f>INDEX(优化后功能框架!$I$5:$I$37,MATCH($G193,优化后功能框架!$A$5:$A$37,0))</f>
        <v>L2</v>
      </c>
      <c r="M193" s="5" t="str">
        <f>INDEX(优化后功能框架!$J$5:$J$37,MATCH($G193,优化后功能框架!$A$5:$A$37,0))</f>
        <v>P1</v>
      </c>
      <c r="N193" s="5" t="str">
        <f>INDEX(优化后功能框架!$M$5:$M$37,MATCH($G193,优化后功能框架!$A$5:$A$37,0))</f>
        <v>D6</v>
      </c>
      <c r="O193" s="7"/>
      <c r="P193" s="5"/>
    </row>
    <row r="194" spans="1:16">
      <c r="A194" s="5">
        <v>190</v>
      </c>
      <c r="B194" s="8" t="s">
        <v>1047</v>
      </c>
      <c r="C194" s="6" t="s">
        <v>944</v>
      </c>
      <c r="D194" s="6" t="s">
        <v>649</v>
      </c>
      <c r="E194" s="6" t="s">
        <v>1033</v>
      </c>
      <c r="F194" s="6" t="s">
        <v>1048</v>
      </c>
      <c r="G194" s="40" t="s">
        <v>550</v>
      </c>
      <c r="H194" s="7" t="str">
        <f>INDEX(优化后功能框架!$C$5:$C$37,MATCH($G194,优化后功能框架!$A$5:$A$37,0))</f>
        <v>球队成员与履历</v>
      </c>
      <c r="I194" s="5" t="str">
        <f>INDEX(优化后功能框架!$F$5:$F$37,MATCH($G194,优化后功能框架!$A$5:$A$37,0))</f>
        <v>成员4</v>
      </c>
      <c r="J194" s="5" t="str">
        <f>INDEX(优化后功能框架!$G$5:$G$37,MATCH($G194,优化后功能框架!$A$5:$A$37,0))</f>
        <v>成员4</v>
      </c>
      <c r="K194" s="7" t="str">
        <f>INDEX(优化后功能框架!$H$5:$H$37,MATCH($G194,优化后功能框架!$A$5:$A$37,0))</f>
        <v>生成器标准页</v>
      </c>
      <c r="L194" s="5" t="str">
        <f>INDEX(优化后功能框架!$I$5:$I$37,MATCH($G194,优化后功能框架!$A$5:$A$37,0))</f>
        <v>L2</v>
      </c>
      <c r="M194" s="5" t="str">
        <f>INDEX(优化后功能框架!$J$5:$J$37,MATCH($G194,优化后功能框架!$A$5:$A$37,0))</f>
        <v>P1</v>
      </c>
      <c r="N194" s="5" t="str">
        <f>INDEX(优化后功能框架!$M$5:$M$37,MATCH($G194,优化后功能框架!$A$5:$A$37,0))</f>
        <v>D6</v>
      </c>
      <c r="O194" s="7"/>
      <c r="P194" s="5"/>
    </row>
    <row r="195" spans="1:16">
      <c r="A195" s="5">
        <v>191</v>
      </c>
      <c r="B195" s="8" t="s">
        <v>1049</v>
      </c>
      <c r="C195" s="6" t="s">
        <v>944</v>
      </c>
      <c r="D195" s="6" t="s">
        <v>649</v>
      </c>
      <c r="E195" s="6" t="s">
        <v>1033</v>
      </c>
      <c r="F195" s="6" t="s">
        <v>1050</v>
      </c>
      <c r="G195" s="40" t="s">
        <v>550</v>
      </c>
      <c r="H195" s="7" t="str">
        <f>INDEX(优化后功能框架!$C$5:$C$37,MATCH($G195,优化后功能框架!$A$5:$A$37,0))</f>
        <v>球队成员与履历</v>
      </c>
      <c r="I195" s="5" t="str">
        <f>INDEX(优化后功能框架!$F$5:$F$37,MATCH($G195,优化后功能框架!$A$5:$A$37,0))</f>
        <v>成员4</v>
      </c>
      <c r="J195" s="5" t="str">
        <f>INDEX(优化后功能框架!$G$5:$G$37,MATCH($G195,优化后功能框架!$A$5:$A$37,0))</f>
        <v>成员4</v>
      </c>
      <c r="K195" s="7" t="str">
        <f>INDEX(优化后功能框架!$H$5:$H$37,MATCH($G195,优化后功能框架!$A$5:$A$37,0))</f>
        <v>生成器标准页</v>
      </c>
      <c r="L195" s="5" t="str">
        <f>INDEX(优化后功能框架!$I$5:$I$37,MATCH($G195,优化后功能框架!$A$5:$A$37,0))</f>
        <v>L2</v>
      </c>
      <c r="M195" s="5" t="str">
        <f>INDEX(优化后功能框架!$J$5:$J$37,MATCH($G195,优化后功能框架!$A$5:$A$37,0))</f>
        <v>P1</v>
      </c>
      <c r="N195" s="5" t="str">
        <f>INDEX(优化后功能框架!$M$5:$M$37,MATCH($G195,优化后功能框架!$A$5:$A$37,0))</f>
        <v>D6</v>
      </c>
      <c r="O195" s="7"/>
      <c r="P195" s="5"/>
    </row>
    <row r="196" spans="1:16">
      <c r="A196" s="5">
        <v>192</v>
      </c>
      <c r="B196" s="8" t="s">
        <v>1051</v>
      </c>
      <c r="C196" s="6" t="s">
        <v>944</v>
      </c>
      <c r="D196" s="6" t="s">
        <v>649</v>
      </c>
      <c r="E196" s="6" t="s">
        <v>1033</v>
      </c>
      <c r="F196" s="6" t="s">
        <v>1052</v>
      </c>
      <c r="G196" s="40" t="s">
        <v>550</v>
      </c>
      <c r="H196" s="7" t="str">
        <f>INDEX(优化后功能框架!$C$5:$C$37,MATCH($G196,优化后功能框架!$A$5:$A$37,0))</f>
        <v>球队成员与履历</v>
      </c>
      <c r="I196" s="5" t="str">
        <f>INDEX(优化后功能框架!$F$5:$F$37,MATCH($G196,优化后功能框架!$A$5:$A$37,0))</f>
        <v>成员4</v>
      </c>
      <c r="J196" s="5" t="str">
        <f>INDEX(优化后功能框架!$G$5:$G$37,MATCH($G196,优化后功能框架!$A$5:$A$37,0))</f>
        <v>成员4</v>
      </c>
      <c r="K196" s="7" t="str">
        <f>INDEX(优化后功能框架!$H$5:$H$37,MATCH($G196,优化后功能框架!$A$5:$A$37,0))</f>
        <v>生成器标准页</v>
      </c>
      <c r="L196" s="5" t="str">
        <f>INDEX(优化后功能框架!$I$5:$I$37,MATCH($G196,优化后功能框架!$A$5:$A$37,0))</f>
        <v>L2</v>
      </c>
      <c r="M196" s="5" t="str">
        <f>INDEX(优化后功能框架!$J$5:$J$37,MATCH($G196,优化后功能框架!$A$5:$A$37,0))</f>
        <v>P1</v>
      </c>
      <c r="N196" s="5" t="str">
        <f>INDEX(优化后功能框架!$M$5:$M$37,MATCH($G196,优化后功能框架!$A$5:$A$37,0))</f>
        <v>D6</v>
      </c>
      <c r="O196" s="7"/>
      <c r="P196" s="5"/>
    </row>
    <row r="197" spans="1:16">
      <c r="A197" s="5">
        <v>193</v>
      </c>
      <c r="B197" s="8" t="s">
        <v>1053</v>
      </c>
      <c r="C197" s="6" t="s">
        <v>944</v>
      </c>
      <c r="D197" s="6" t="s">
        <v>649</v>
      </c>
      <c r="E197" s="6" t="s">
        <v>1033</v>
      </c>
      <c r="F197" s="6" t="s">
        <v>1054</v>
      </c>
      <c r="G197" s="40" t="s">
        <v>550</v>
      </c>
      <c r="H197" s="7" t="str">
        <f>INDEX(优化后功能框架!$C$5:$C$37,MATCH($G197,优化后功能框架!$A$5:$A$37,0))</f>
        <v>球队成员与履历</v>
      </c>
      <c r="I197" s="5" t="str">
        <f>INDEX(优化后功能框架!$F$5:$F$37,MATCH($G197,优化后功能框架!$A$5:$A$37,0))</f>
        <v>成员4</v>
      </c>
      <c r="J197" s="5" t="str">
        <f>INDEX(优化后功能框架!$G$5:$G$37,MATCH($G197,优化后功能框架!$A$5:$A$37,0))</f>
        <v>成员4</v>
      </c>
      <c r="K197" s="7" t="str">
        <f>INDEX(优化后功能框架!$H$5:$H$37,MATCH($G197,优化后功能框架!$A$5:$A$37,0))</f>
        <v>生成器标准页</v>
      </c>
      <c r="L197" s="5" t="str">
        <f>INDEX(优化后功能框架!$I$5:$I$37,MATCH($G197,优化后功能框架!$A$5:$A$37,0))</f>
        <v>L2</v>
      </c>
      <c r="M197" s="5" t="str">
        <f>INDEX(优化后功能框架!$J$5:$J$37,MATCH($G197,优化后功能框架!$A$5:$A$37,0))</f>
        <v>P1</v>
      </c>
      <c r="N197" s="5" t="str">
        <f>INDEX(优化后功能框架!$M$5:$M$37,MATCH($G197,优化后功能框架!$A$5:$A$37,0))</f>
        <v>D6</v>
      </c>
      <c r="O197" s="7"/>
      <c r="P197" s="5"/>
    </row>
    <row r="198" spans="1:16">
      <c r="A198" s="5">
        <v>194</v>
      </c>
      <c r="B198" s="8" t="s">
        <v>1055</v>
      </c>
      <c r="C198" s="6" t="s">
        <v>944</v>
      </c>
      <c r="D198" s="6" t="s">
        <v>649</v>
      </c>
      <c r="E198" s="6" t="s">
        <v>1033</v>
      </c>
      <c r="F198" s="6" t="s">
        <v>1056</v>
      </c>
      <c r="G198" s="40" t="s">
        <v>550</v>
      </c>
      <c r="H198" s="7" t="str">
        <f>INDEX(优化后功能框架!$C$5:$C$37,MATCH($G198,优化后功能框架!$A$5:$A$37,0))</f>
        <v>球队成员与履历</v>
      </c>
      <c r="I198" s="5" t="str">
        <f>INDEX(优化后功能框架!$F$5:$F$37,MATCH($G198,优化后功能框架!$A$5:$A$37,0))</f>
        <v>成员4</v>
      </c>
      <c r="J198" s="5" t="str">
        <f>INDEX(优化后功能框架!$G$5:$G$37,MATCH($G198,优化后功能框架!$A$5:$A$37,0))</f>
        <v>成员4</v>
      </c>
      <c r="K198" s="7" t="str">
        <f>INDEX(优化后功能框架!$H$5:$H$37,MATCH($G198,优化后功能框架!$A$5:$A$37,0))</f>
        <v>生成器标准页</v>
      </c>
      <c r="L198" s="5" t="str">
        <f>INDEX(优化后功能框架!$I$5:$I$37,MATCH($G198,优化后功能框架!$A$5:$A$37,0))</f>
        <v>L2</v>
      </c>
      <c r="M198" s="5" t="str">
        <f>INDEX(优化后功能框架!$J$5:$J$37,MATCH($G198,优化后功能框架!$A$5:$A$37,0))</f>
        <v>P1</v>
      </c>
      <c r="N198" s="5" t="str">
        <f>INDEX(优化后功能框架!$M$5:$M$37,MATCH($G198,优化后功能框架!$A$5:$A$37,0))</f>
        <v>D6</v>
      </c>
      <c r="O198" s="7"/>
      <c r="P198" s="5"/>
    </row>
    <row r="199" spans="1:16">
      <c r="A199" s="5">
        <v>195</v>
      </c>
      <c r="B199" s="8" t="s">
        <v>1057</v>
      </c>
      <c r="C199" s="6" t="s">
        <v>944</v>
      </c>
      <c r="D199" s="6" t="s">
        <v>649</v>
      </c>
      <c r="E199" s="6" t="s">
        <v>1033</v>
      </c>
      <c r="F199" s="6" t="s">
        <v>129</v>
      </c>
      <c r="G199" s="40" t="s">
        <v>550</v>
      </c>
      <c r="H199" s="7" t="str">
        <f>INDEX(优化后功能框架!$C$5:$C$37,MATCH($G199,优化后功能框架!$A$5:$A$37,0))</f>
        <v>球队成员与履历</v>
      </c>
      <c r="I199" s="5" t="str">
        <f>INDEX(优化后功能框架!$F$5:$F$37,MATCH($G199,优化后功能框架!$A$5:$A$37,0))</f>
        <v>成员4</v>
      </c>
      <c r="J199" s="5" t="str">
        <f>INDEX(优化后功能框架!$G$5:$G$37,MATCH($G199,优化后功能框架!$A$5:$A$37,0))</f>
        <v>成员4</v>
      </c>
      <c r="K199" s="7" t="str">
        <f>INDEX(优化后功能框架!$H$5:$H$37,MATCH($G199,优化后功能框架!$A$5:$A$37,0))</f>
        <v>生成器标准页</v>
      </c>
      <c r="L199" s="5" t="str">
        <f>INDEX(优化后功能框架!$I$5:$I$37,MATCH($G199,优化后功能框架!$A$5:$A$37,0))</f>
        <v>L2</v>
      </c>
      <c r="M199" s="5" t="str">
        <f>INDEX(优化后功能框架!$J$5:$J$37,MATCH($G199,优化后功能框架!$A$5:$A$37,0))</f>
        <v>P1</v>
      </c>
      <c r="N199" s="5" t="str">
        <f>INDEX(优化后功能框架!$M$5:$M$37,MATCH($G199,优化后功能框架!$A$5:$A$37,0))</f>
        <v>D6</v>
      </c>
      <c r="O199" s="7"/>
      <c r="P199" s="5"/>
    </row>
    <row r="200" spans="1:16">
      <c r="A200" s="5">
        <v>196</v>
      </c>
      <c r="B200" s="8" t="s">
        <v>1058</v>
      </c>
      <c r="C200" s="6" t="s">
        <v>944</v>
      </c>
      <c r="D200" s="6" t="s">
        <v>649</v>
      </c>
      <c r="E200" s="6" t="s">
        <v>1033</v>
      </c>
      <c r="F200" s="6" t="s">
        <v>1059</v>
      </c>
      <c r="G200" s="40" t="s">
        <v>550</v>
      </c>
      <c r="H200" s="7" t="str">
        <f>INDEX(优化后功能框架!$C$5:$C$37,MATCH($G200,优化后功能框架!$A$5:$A$37,0))</f>
        <v>球队成员与履历</v>
      </c>
      <c r="I200" s="5" t="str">
        <f>INDEX(优化后功能框架!$F$5:$F$37,MATCH($G200,优化后功能框架!$A$5:$A$37,0))</f>
        <v>成员4</v>
      </c>
      <c r="J200" s="5" t="str">
        <f>INDEX(优化后功能框架!$G$5:$G$37,MATCH($G200,优化后功能框架!$A$5:$A$37,0))</f>
        <v>成员4</v>
      </c>
      <c r="K200" s="7" t="str">
        <f>INDEX(优化后功能框架!$H$5:$H$37,MATCH($G200,优化后功能框架!$A$5:$A$37,0))</f>
        <v>生成器标准页</v>
      </c>
      <c r="L200" s="5" t="str">
        <f>INDEX(优化后功能框架!$I$5:$I$37,MATCH($G200,优化后功能框架!$A$5:$A$37,0))</f>
        <v>L2</v>
      </c>
      <c r="M200" s="5" t="str">
        <f>INDEX(优化后功能框架!$J$5:$J$37,MATCH($G200,优化后功能框架!$A$5:$A$37,0))</f>
        <v>P1</v>
      </c>
      <c r="N200" s="5" t="str">
        <f>INDEX(优化后功能框架!$M$5:$M$37,MATCH($G200,优化后功能框架!$A$5:$A$37,0))</f>
        <v>D6</v>
      </c>
      <c r="O200" s="7"/>
      <c r="P200" s="5"/>
    </row>
    <row r="201" spans="1:16">
      <c r="A201" s="5">
        <v>197</v>
      </c>
      <c r="B201" s="8" t="s">
        <v>1060</v>
      </c>
      <c r="C201" s="6" t="s">
        <v>944</v>
      </c>
      <c r="D201" s="6" t="s">
        <v>649</v>
      </c>
      <c r="E201" s="6" t="s">
        <v>1061</v>
      </c>
      <c r="F201" s="6" t="s">
        <v>1062</v>
      </c>
      <c r="G201" s="40" t="s">
        <v>509</v>
      </c>
      <c r="H201" s="7" t="str">
        <f>INDEX(优化后功能框架!$C$5:$C$37,MATCH($G201,优化后功能框架!$A$5:$A$37,0))</f>
        <v>账号管理</v>
      </c>
      <c r="I201" s="5" t="str">
        <f>INDEX(优化后功能框架!$F$5:$F$37,MATCH($G201,优化后功能框架!$A$5:$A$37,0))</f>
        <v>成员2</v>
      </c>
      <c r="J201" s="5" t="str">
        <f>INDEX(优化后功能框架!$G$5:$G$37,MATCH($G201,优化后功能框架!$A$5:$A$37,0))</f>
        <v>成员2</v>
      </c>
      <c r="K201" s="7" t="str">
        <f>INDEX(优化后功能框架!$H$5:$H$37,MATCH($G201,优化后功能框架!$A$5:$A$37,0))</f>
        <v>生成器标准页</v>
      </c>
      <c r="L201" s="5" t="str">
        <f>INDEX(优化后功能框架!$I$5:$I$37,MATCH($G201,优化后功能框架!$A$5:$A$37,0))</f>
        <v>L2</v>
      </c>
      <c r="M201" s="5" t="str">
        <f>INDEX(优化后功能框架!$J$5:$J$37,MATCH($G201,优化后功能框架!$A$5:$A$37,0))</f>
        <v>P1</v>
      </c>
      <c r="N201" s="5" t="str">
        <f>INDEX(优化后功能框架!$M$5:$M$37,MATCH($G201,优化后功能框架!$A$5:$A$37,0))</f>
        <v>D5</v>
      </c>
      <c r="O201" s="7"/>
      <c r="P201" s="5"/>
    </row>
    <row r="202" spans="1:16">
      <c r="A202" s="5">
        <v>198</v>
      </c>
      <c r="B202" s="8" t="s">
        <v>1063</v>
      </c>
      <c r="C202" s="6" t="s">
        <v>944</v>
      </c>
      <c r="D202" s="6" t="s">
        <v>649</v>
      </c>
      <c r="E202" s="6" t="s">
        <v>1064</v>
      </c>
      <c r="F202" s="6" t="s">
        <v>1065</v>
      </c>
      <c r="G202" s="40" t="s">
        <v>499</v>
      </c>
      <c r="H202" s="7" t="str">
        <f>INDEX(优化后功能框架!$C$5:$C$37,MATCH($G202,优化后功能框架!$A$5:$A$37,0))</f>
        <v>消息通知</v>
      </c>
      <c r="I202" s="5" t="str">
        <f>INDEX(优化后功能框架!$F$5:$F$37,MATCH($G202,优化后功能框架!$A$5:$A$37,0))</f>
        <v>成员2</v>
      </c>
      <c r="J202" s="5" t="str">
        <f>INDEX(优化后功能框架!$G$5:$G$37,MATCH($G202,优化后功能框架!$A$5:$A$37,0))</f>
        <v>成员2</v>
      </c>
      <c r="K202" s="7" t="str">
        <f>INDEX(优化后功能框架!$H$5:$H$37,MATCH($G202,优化后功能框架!$A$5:$A$37,0))</f>
        <v>生成器标准页</v>
      </c>
      <c r="L202" s="5" t="str">
        <f>INDEX(优化后功能框架!$I$5:$I$37,MATCH($G202,优化后功能框架!$A$5:$A$37,0))</f>
        <v>L3</v>
      </c>
      <c r="M202" s="5" t="str">
        <f>INDEX(优化后功能框架!$J$5:$J$37,MATCH($G202,优化后功能框架!$A$5:$A$37,0))</f>
        <v>P1</v>
      </c>
      <c r="N202" s="5" t="str">
        <f>INDEX(优化后功能框架!$M$5:$M$37,MATCH($G202,优化后功能框架!$A$5:$A$37,0))</f>
        <v>D5</v>
      </c>
      <c r="O202" s="7"/>
      <c r="P202" s="5"/>
    </row>
    <row r="203" spans="1:16">
      <c r="A203" s="5">
        <v>199</v>
      </c>
      <c r="B203" s="8" t="s">
        <v>1066</v>
      </c>
      <c r="C203" s="6" t="s">
        <v>944</v>
      </c>
      <c r="D203" s="6" t="s">
        <v>649</v>
      </c>
      <c r="E203" s="6" t="s">
        <v>1067</v>
      </c>
      <c r="F203" s="6" t="s">
        <v>1068</v>
      </c>
      <c r="G203" s="40" t="s">
        <v>555</v>
      </c>
      <c r="H203" s="7" t="str">
        <f>INDEX(优化后功能框架!$C$5:$C$37,MATCH($G203,优化后功能框架!$A$5:$A$37,0))</f>
        <v>球队教练员关联</v>
      </c>
      <c r="I203" s="5" t="str">
        <f>INDEX(优化后功能框架!$F$5:$F$37,MATCH($G203,优化后功能框架!$A$5:$A$37,0))</f>
        <v>成员4</v>
      </c>
      <c r="J203" s="5" t="str">
        <f>INDEX(优化后功能框架!$G$5:$G$37,MATCH($G203,优化后功能框架!$A$5:$A$37,0))</f>
        <v>成员4</v>
      </c>
      <c r="K203" s="7" t="str">
        <f>INDEX(优化后功能框架!$H$5:$H$37,MATCH($G203,优化后功能框架!$A$5:$A$37,0))</f>
        <v>生成器标准页</v>
      </c>
      <c r="L203" s="5" t="str">
        <f>INDEX(优化后功能框架!$I$5:$I$37,MATCH($G203,优化后功能框架!$A$5:$A$37,0))</f>
        <v>L2</v>
      </c>
      <c r="M203" s="5" t="str">
        <f>INDEX(优化后功能框架!$J$5:$J$37,MATCH($G203,优化后功能框架!$A$5:$A$37,0))</f>
        <v>P1</v>
      </c>
      <c r="N203" s="5" t="str">
        <f>INDEX(优化后功能框架!$M$5:$M$37,MATCH($G203,优化后功能框架!$A$5:$A$37,0))</f>
        <v>D5</v>
      </c>
      <c r="O203" s="7"/>
      <c r="P203" s="5"/>
    </row>
    <row r="204" spans="1:16">
      <c r="A204" s="5">
        <v>200</v>
      </c>
      <c r="B204" s="8" t="s">
        <v>1069</v>
      </c>
      <c r="C204" s="6" t="s">
        <v>944</v>
      </c>
      <c r="D204" s="6" t="s">
        <v>649</v>
      </c>
      <c r="E204" s="6" t="s">
        <v>1067</v>
      </c>
      <c r="F204" s="6" t="s">
        <v>1070</v>
      </c>
      <c r="G204" s="40" t="s">
        <v>555</v>
      </c>
      <c r="H204" s="7" t="str">
        <f>INDEX(优化后功能框架!$C$5:$C$37,MATCH($G204,优化后功能框架!$A$5:$A$37,0))</f>
        <v>球队教练员关联</v>
      </c>
      <c r="I204" s="5" t="str">
        <f>INDEX(优化后功能框架!$F$5:$F$37,MATCH($G204,优化后功能框架!$A$5:$A$37,0))</f>
        <v>成员4</v>
      </c>
      <c r="J204" s="5" t="str">
        <f>INDEX(优化后功能框架!$G$5:$G$37,MATCH($G204,优化后功能框架!$A$5:$A$37,0))</f>
        <v>成员4</v>
      </c>
      <c r="K204" s="7" t="str">
        <f>INDEX(优化后功能框架!$H$5:$H$37,MATCH($G204,优化后功能框架!$A$5:$A$37,0))</f>
        <v>生成器标准页</v>
      </c>
      <c r="L204" s="5" t="str">
        <f>INDEX(优化后功能框架!$I$5:$I$37,MATCH($G204,优化后功能框架!$A$5:$A$37,0))</f>
        <v>L2</v>
      </c>
      <c r="M204" s="5" t="str">
        <f>INDEX(优化后功能框架!$J$5:$J$37,MATCH($G204,优化后功能框架!$A$5:$A$37,0))</f>
        <v>P1</v>
      </c>
      <c r="N204" s="5" t="str">
        <f>INDEX(优化后功能框架!$M$5:$M$37,MATCH($G204,优化后功能框架!$A$5:$A$37,0))</f>
        <v>D5</v>
      </c>
      <c r="O204" s="7"/>
      <c r="P204" s="5"/>
    </row>
    <row r="205" spans="1:16">
      <c r="A205" s="5">
        <v>201</v>
      </c>
      <c r="B205" s="8" t="s">
        <v>1071</v>
      </c>
      <c r="C205" s="6" t="s">
        <v>944</v>
      </c>
      <c r="D205" s="6" t="s">
        <v>649</v>
      </c>
      <c r="E205" s="6" t="s">
        <v>1067</v>
      </c>
      <c r="F205" s="6" t="s">
        <v>1072</v>
      </c>
      <c r="G205" s="40" t="s">
        <v>555</v>
      </c>
      <c r="H205" s="7" t="str">
        <f>INDEX(优化后功能框架!$C$5:$C$37,MATCH($G205,优化后功能框架!$A$5:$A$37,0))</f>
        <v>球队教练员关联</v>
      </c>
      <c r="I205" s="5" t="str">
        <f>INDEX(优化后功能框架!$F$5:$F$37,MATCH($G205,优化后功能框架!$A$5:$A$37,0))</f>
        <v>成员4</v>
      </c>
      <c r="J205" s="5" t="str">
        <f>INDEX(优化后功能框架!$G$5:$G$37,MATCH($G205,优化后功能框架!$A$5:$A$37,0))</f>
        <v>成员4</v>
      </c>
      <c r="K205" s="7" t="str">
        <f>INDEX(优化后功能框架!$H$5:$H$37,MATCH($G205,优化后功能框架!$A$5:$A$37,0))</f>
        <v>生成器标准页</v>
      </c>
      <c r="L205" s="5" t="str">
        <f>INDEX(优化后功能框架!$I$5:$I$37,MATCH($G205,优化后功能框架!$A$5:$A$37,0))</f>
        <v>L2</v>
      </c>
      <c r="M205" s="5" t="str">
        <f>INDEX(优化后功能框架!$J$5:$J$37,MATCH($G205,优化后功能框架!$A$5:$A$37,0))</f>
        <v>P1</v>
      </c>
      <c r="N205" s="5" t="str">
        <f>INDEX(优化后功能框架!$M$5:$M$37,MATCH($G205,优化后功能框架!$A$5:$A$37,0))</f>
        <v>D5</v>
      </c>
      <c r="O205" s="7"/>
      <c r="P205" s="5"/>
    </row>
    <row r="206" spans="1:16">
      <c r="A206" s="5">
        <v>202</v>
      </c>
      <c r="B206" s="8" t="s">
        <v>1073</v>
      </c>
      <c r="C206" s="6" t="s">
        <v>944</v>
      </c>
      <c r="D206" s="6" t="s">
        <v>649</v>
      </c>
      <c r="E206" s="6" t="s">
        <v>1067</v>
      </c>
      <c r="F206" s="6" t="s">
        <v>1074</v>
      </c>
      <c r="G206" s="40" t="s">
        <v>555</v>
      </c>
      <c r="H206" s="7" t="str">
        <f>INDEX(优化后功能框架!$C$5:$C$37,MATCH($G206,优化后功能框架!$A$5:$A$37,0))</f>
        <v>球队教练员关联</v>
      </c>
      <c r="I206" s="5" t="str">
        <f>INDEX(优化后功能框架!$F$5:$F$37,MATCH($G206,优化后功能框架!$A$5:$A$37,0))</f>
        <v>成员4</v>
      </c>
      <c r="J206" s="5" t="str">
        <f>INDEX(优化后功能框架!$G$5:$G$37,MATCH($G206,优化后功能框架!$A$5:$A$37,0))</f>
        <v>成员4</v>
      </c>
      <c r="K206" s="7" t="str">
        <f>INDEX(优化后功能框架!$H$5:$H$37,MATCH($G206,优化后功能框架!$A$5:$A$37,0))</f>
        <v>生成器标准页</v>
      </c>
      <c r="L206" s="5" t="str">
        <f>INDEX(优化后功能框架!$I$5:$I$37,MATCH($G206,优化后功能框架!$A$5:$A$37,0))</f>
        <v>L2</v>
      </c>
      <c r="M206" s="5" t="str">
        <f>INDEX(优化后功能框架!$J$5:$J$37,MATCH($G206,优化后功能框架!$A$5:$A$37,0))</f>
        <v>P1</v>
      </c>
      <c r="N206" s="5" t="str">
        <f>INDEX(优化后功能框架!$M$5:$M$37,MATCH($G206,优化后功能框架!$A$5:$A$37,0))</f>
        <v>D5</v>
      </c>
      <c r="O206" s="7"/>
      <c r="P206" s="5"/>
    </row>
    <row r="207" spans="1:16">
      <c r="A207" s="5">
        <v>203</v>
      </c>
      <c r="B207" s="8" t="s">
        <v>1075</v>
      </c>
      <c r="C207" s="6" t="s">
        <v>944</v>
      </c>
      <c r="D207" s="6" t="s">
        <v>649</v>
      </c>
      <c r="E207" s="6" t="s">
        <v>1067</v>
      </c>
      <c r="F207" s="6" t="s">
        <v>1076</v>
      </c>
      <c r="G207" s="40" t="s">
        <v>555</v>
      </c>
      <c r="H207" s="7" t="str">
        <f>INDEX(优化后功能框架!$C$5:$C$37,MATCH($G207,优化后功能框架!$A$5:$A$37,0))</f>
        <v>球队教练员关联</v>
      </c>
      <c r="I207" s="5" t="str">
        <f>INDEX(优化后功能框架!$F$5:$F$37,MATCH($G207,优化后功能框架!$A$5:$A$37,0))</f>
        <v>成员4</v>
      </c>
      <c r="J207" s="5" t="str">
        <f>INDEX(优化后功能框架!$G$5:$G$37,MATCH($G207,优化后功能框架!$A$5:$A$37,0))</f>
        <v>成员4</v>
      </c>
      <c r="K207" s="7" t="str">
        <f>INDEX(优化后功能框架!$H$5:$H$37,MATCH($G207,优化后功能框架!$A$5:$A$37,0))</f>
        <v>生成器标准页</v>
      </c>
      <c r="L207" s="5" t="str">
        <f>INDEX(优化后功能框架!$I$5:$I$37,MATCH($G207,优化后功能框架!$A$5:$A$37,0))</f>
        <v>L2</v>
      </c>
      <c r="M207" s="5" t="str">
        <f>INDEX(优化后功能框架!$J$5:$J$37,MATCH($G207,优化后功能框架!$A$5:$A$37,0))</f>
        <v>P1</v>
      </c>
      <c r="N207" s="5" t="str">
        <f>INDEX(优化后功能框架!$M$5:$M$37,MATCH($G207,优化后功能框架!$A$5:$A$37,0))</f>
        <v>D5</v>
      </c>
      <c r="O207" s="7"/>
      <c r="P207" s="5"/>
    </row>
    <row r="208" spans="1:16">
      <c r="A208" s="5">
        <v>204</v>
      </c>
      <c r="B208" s="8" t="s">
        <v>1077</v>
      </c>
      <c r="C208" s="6" t="s">
        <v>944</v>
      </c>
      <c r="D208" s="6" t="s">
        <v>1078</v>
      </c>
      <c r="E208" s="6" t="s">
        <v>1079</v>
      </c>
      <c r="F208" s="6" t="s">
        <v>1080</v>
      </c>
      <c r="G208" s="40" t="s">
        <v>540</v>
      </c>
      <c r="H208" s="7" t="str">
        <f>INDEX(优化后功能框架!$C$5:$C$37,MATCH($G208,优化后功能框架!$A$5:$A$37,0))</f>
        <v>管理员人员管理</v>
      </c>
      <c r="I208" s="5" t="str">
        <f>INDEX(优化后功能框架!$F$5:$F$37,MATCH($G208,优化后功能框架!$A$5:$A$37,0))</f>
        <v>成员4</v>
      </c>
      <c r="J208" s="5" t="str">
        <f>INDEX(优化后功能框架!$G$5:$G$37,MATCH($G208,优化后功能框架!$A$5:$A$37,0))</f>
        <v>成员4</v>
      </c>
      <c r="K208" s="7" t="str">
        <f>INDEX(优化后功能框架!$H$5:$H$37,MATCH($G208,优化后功能框架!$A$5:$A$37,0))</f>
        <v>生成器标准页</v>
      </c>
      <c r="L208" s="5" t="str">
        <f>INDEX(优化后功能框架!$I$5:$I$37,MATCH($G208,优化后功能框架!$A$5:$A$37,0))</f>
        <v>L2</v>
      </c>
      <c r="M208" s="5" t="str">
        <f>INDEX(优化后功能框架!$J$5:$J$37,MATCH($G208,优化后功能框架!$A$5:$A$37,0))</f>
        <v>P1</v>
      </c>
      <c r="N208" s="5" t="str">
        <f>INDEX(优化后功能框架!$M$5:$M$37,MATCH($G208,优化后功能框架!$A$5:$A$37,0))</f>
        <v>D8</v>
      </c>
      <c r="O208" s="7"/>
      <c r="P208" s="5"/>
    </row>
    <row r="209" spans="1:16">
      <c r="A209" s="5">
        <v>205</v>
      </c>
      <c r="B209" s="8" t="s">
        <v>1081</v>
      </c>
      <c r="C209" s="6" t="s">
        <v>944</v>
      </c>
      <c r="D209" s="6" t="s">
        <v>1078</v>
      </c>
      <c r="E209" s="6" t="s">
        <v>1079</v>
      </c>
      <c r="F209" s="6" t="s">
        <v>1040</v>
      </c>
      <c r="G209" s="40" t="s">
        <v>540</v>
      </c>
      <c r="H209" s="7" t="str">
        <f>INDEX(优化后功能框架!$C$5:$C$37,MATCH($G209,优化后功能框架!$A$5:$A$37,0))</f>
        <v>管理员人员管理</v>
      </c>
      <c r="I209" s="5" t="str">
        <f>INDEX(优化后功能框架!$F$5:$F$37,MATCH($G209,优化后功能框架!$A$5:$A$37,0))</f>
        <v>成员4</v>
      </c>
      <c r="J209" s="5" t="str">
        <f>INDEX(优化后功能框架!$G$5:$G$37,MATCH($G209,优化后功能框架!$A$5:$A$37,0))</f>
        <v>成员4</v>
      </c>
      <c r="K209" s="7" t="str">
        <f>INDEX(优化后功能框架!$H$5:$H$37,MATCH($G209,优化后功能框架!$A$5:$A$37,0))</f>
        <v>生成器标准页</v>
      </c>
      <c r="L209" s="5" t="str">
        <f>INDEX(优化后功能框架!$I$5:$I$37,MATCH($G209,优化后功能框架!$A$5:$A$37,0))</f>
        <v>L2</v>
      </c>
      <c r="M209" s="5" t="str">
        <f>INDEX(优化后功能框架!$J$5:$J$37,MATCH($G209,优化后功能框架!$A$5:$A$37,0))</f>
        <v>P1</v>
      </c>
      <c r="N209" s="5" t="str">
        <f>INDEX(优化后功能框架!$M$5:$M$37,MATCH($G209,优化后功能框架!$A$5:$A$37,0))</f>
        <v>D8</v>
      </c>
      <c r="O209" s="7"/>
      <c r="P209" s="5"/>
    </row>
    <row r="210" spans="1:16">
      <c r="A210" s="5">
        <v>206</v>
      </c>
      <c r="B210" s="8" t="s">
        <v>1082</v>
      </c>
      <c r="C210" s="6" t="s">
        <v>944</v>
      </c>
      <c r="D210" s="6" t="s">
        <v>1078</v>
      </c>
      <c r="E210" s="6" t="s">
        <v>1079</v>
      </c>
      <c r="F210" s="6" t="s">
        <v>1042</v>
      </c>
      <c r="G210" s="40" t="s">
        <v>540</v>
      </c>
      <c r="H210" s="7" t="str">
        <f>INDEX(优化后功能框架!$C$5:$C$37,MATCH($G210,优化后功能框架!$A$5:$A$37,0))</f>
        <v>管理员人员管理</v>
      </c>
      <c r="I210" s="5" t="str">
        <f>INDEX(优化后功能框架!$F$5:$F$37,MATCH($G210,优化后功能框架!$A$5:$A$37,0))</f>
        <v>成员4</v>
      </c>
      <c r="J210" s="5" t="str">
        <f>INDEX(优化后功能框架!$G$5:$G$37,MATCH($G210,优化后功能框架!$A$5:$A$37,0))</f>
        <v>成员4</v>
      </c>
      <c r="K210" s="7" t="str">
        <f>INDEX(优化后功能框架!$H$5:$H$37,MATCH($G210,优化后功能框架!$A$5:$A$37,0))</f>
        <v>生成器标准页</v>
      </c>
      <c r="L210" s="5" t="str">
        <f>INDEX(优化后功能框架!$I$5:$I$37,MATCH($G210,优化后功能框架!$A$5:$A$37,0))</f>
        <v>L2</v>
      </c>
      <c r="M210" s="5" t="str">
        <f>INDEX(优化后功能框架!$J$5:$J$37,MATCH($G210,优化后功能框架!$A$5:$A$37,0))</f>
        <v>P1</v>
      </c>
      <c r="N210" s="5" t="str">
        <f>INDEX(优化后功能框架!$M$5:$M$37,MATCH($G210,优化后功能框架!$A$5:$A$37,0))</f>
        <v>D8</v>
      </c>
      <c r="O210" s="7"/>
      <c r="P210" s="5"/>
    </row>
    <row r="211" spans="1:16">
      <c r="A211" s="5">
        <v>207</v>
      </c>
      <c r="B211" s="8" t="s">
        <v>1083</v>
      </c>
      <c r="C211" s="6" t="s">
        <v>944</v>
      </c>
      <c r="D211" s="6" t="s">
        <v>1078</v>
      </c>
      <c r="E211" s="6" t="s">
        <v>1079</v>
      </c>
      <c r="F211" s="6" t="s">
        <v>1084</v>
      </c>
      <c r="G211" s="40" t="s">
        <v>509</v>
      </c>
      <c r="H211" s="7" t="str">
        <f>INDEX(优化后功能框架!$C$5:$C$37,MATCH($G211,优化后功能框架!$A$5:$A$37,0))</f>
        <v>账号管理</v>
      </c>
      <c r="I211" s="5" t="str">
        <f>INDEX(优化后功能框架!$F$5:$F$37,MATCH($G211,优化后功能框架!$A$5:$A$37,0))</f>
        <v>成员2</v>
      </c>
      <c r="J211" s="5" t="str">
        <f>INDEX(优化后功能框架!$G$5:$G$37,MATCH($G211,优化后功能框架!$A$5:$A$37,0))</f>
        <v>成员2</v>
      </c>
      <c r="K211" s="7" t="str">
        <f>INDEX(优化后功能框架!$H$5:$H$37,MATCH($G211,优化后功能框架!$A$5:$A$37,0))</f>
        <v>生成器标准页</v>
      </c>
      <c r="L211" s="5" t="str">
        <f>INDEX(优化后功能框架!$I$5:$I$37,MATCH($G211,优化后功能框架!$A$5:$A$37,0))</f>
        <v>L2</v>
      </c>
      <c r="M211" s="5" t="str">
        <f>INDEX(优化后功能框架!$J$5:$J$37,MATCH($G211,优化后功能框架!$A$5:$A$37,0))</f>
        <v>P1</v>
      </c>
      <c r="N211" s="5" t="str">
        <f>INDEX(优化后功能框架!$M$5:$M$37,MATCH($G211,优化后功能框架!$A$5:$A$37,0))</f>
        <v>D5</v>
      </c>
      <c r="O211" s="7"/>
      <c r="P211" s="5"/>
    </row>
    <row r="212" spans="1:16" ht="25">
      <c r="A212" s="5">
        <v>208</v>
      </c>
      <c r="B212" s="8" t="s">
        <v>1085</v>
      </c>
      <c r="C212" s="6" t="s">
        <v>944</v>
      </c>
      <c r="D212" s="6" t="s">
        <v>1078</v>
      </c>
      <c r="E212" s="6" t="s">
        <v>1079</v>
      </c>
      <c r="F212" s="6" t="s">
        <v>1086</v>
      </c>
      <c r="G212" s="40" t="s">
        <v>443</v>
      </c>
      <c r="H212" s="7" t="str">
        <f>INDEX(优化后功能框架!$C$5:$C$37,MATCH($G212,优化后功能框架!$A$5:$A$37,0))</f>
        <v>公示</v>
      </c>
      <c r="I212" s="5" t="str">
        <f>INDEX(优化后功能框架!$F$5:$F$37,MATCH($G212,优化后功能框架!$A$5:$A$37,0))</f>
        <v>成员6</v>
      </c>
      <c r="J212" s="5" t="str">
        <f>INDEX(优化后功能框架!$G$5:$G$37,MATCH($G212,优化后功能框架!$A$5:$A$37,0))</f>
        <v>成员6</v>
      </c>
      <c r="K212" s="7" t="str">
        <f>INDEX(优化后功能框架!$H$5:$H$37,MATCH($G212,优化后功能框架!$A$5:$A$37,0))</f>
        <v>生成器标准页+门户页</v>
      </c>
      <c r="L212" s="5" t="str">
        <f>INDEX(优化后功能框架!$I$5:$I$37,MATCH($G212,优化后功能框架!$A$5:$A$37,0))</f>
        <v>L2</v>
      </c>
      <c r="M212" s="5" t="str">
        <f>INDEX(优化后功能框架!$J$5:$J$37,MATCH($G212,优化后功能框架!$A$5:$A$37,0))</f>
        <v>P1</v>
      </c>
      <c r="N212" s="5" t="str">
        <f>INDEX(优化后功能框架!$M$5:$M$37,MATCH($G212,优化后功能框架!$A$5:$A$37,0))</f>
        <v>D6</v>
      </c>
      <c r="O212" s="7"/>
      <c r="P212" s="5"/>
    </row>
    <row r="213" spans="1:16" ht="25">
      <c r="A213" s="5">
        <v>209</v>
      </c>
      <c r="B213" s="8" t="s">
        <v>1087</v>
      </c>
      <c r="C213" s="6" t="s">
        <v>944</v>
      </c>
      <c r="D213" s="6" t="s">
        <v>1078</v>
      </c>
      <c r="E213" s="6" t="s">
        <v>1079</v>
      </c>
      <c r="F213" s="6" t="s">
        <v>1088</v>
      </c>
      <c r="G213" s="40" t="s">
        <v>443</v>
      </c>
      <c r="H213" s="7" t="str">
        <f>INDEX(优化后功能框架!$C$5:$C$37,MATCH($G213,优化后功能框架!$A$5:$A$37,0))</f>
        <v>公示</v>
      </c>
      <c r="I213" s="5" t="str">
        <f>INDEX(优化后功能框架!$F$5:$F$37,MATCH($G213,优化后功能框架!$A$5:$A$37,0))</f>
        <v>成员6</v>
      </c>
      <c r="J213" s="5" t="str">
        <f>INDEX(优化后功能框架!$G$5:$G$37,MATCH($G213,优化后功能框架!$A$5:$A$37,0))</f>
        <v>成员6</v>
      </c>
      <c r="K213" s="7" t="str">
        <f>INDEX(优化后功能框架!$H$5:$H$37,MATCH($G213,优化后功能框架!$A$5:$A$37,0))</f>
        <v>生成器标准页+门户页</v>
      </c>
      <c r="L213" s="5" t="str">
        <f>INDEX(优化后功能框架!$I$5:$I$37,MATCH($G213,优化后功能框架!$A$5:$A$37,0))</f>
        <v>L2</v>
      </c>
      <c r="M213" s="5" t="str">
        <f>INDEX(优化后功能框架!$J$5:$J$37,MATCH($G213,优化后功能框架!$A$5:$A$37,0))</f>
        <v>P1</v>
      </c>
      <c r="N213" s="5" t="str">
        <f>INDEX(优化后功能框架!$M$5:$M$37,MATCH($G213,优化后功能框架!$A$5:$A$37,0))</f>
        <v>D6</v>
      </c>
      <c r="O213" s="7"/>
      <c r="P213" s="5"/>
    </row>
    <row r="214" spans="1:16">
      <c r="A214" s="5">
        <v>210</v>
      </c>
      <c r="B214" s="8" t="s">
        <v>1089</v>
      </c>
      <c r="C214" s="6" t="s">
        <v>944</v>
      </c>
      <c r="D214" s="6" t="s">
        <v>1078</v>
      </c>
      <c r="E214" s="6" t="s">
        <v>1079</v>
      </c>
      <c r="F214" s="6" t="s">
        <v>1090</v>
      </c>
      <c r="G214" s="40" t="s">
        <v>540</v>
      </c>
      <c r="H214" s="7" t="str">
        <f>INDEX(优化后功能框架!$C$5:$C$37,MATCH($G214,优化后功能框架!$A$5:$A$37,0))</f>
        <v>管理员人员管理</v>
      </c>
      <c r="I214" s="5" t="str">
        <f>INDEX(优化后功能框架!$F$5:$F$37,MATCH($G214,优化后功能框架!$A$5:$A$37,0))</f>
        <v>成员4</v>
      </c>
      <c r="J214" s="5" t="str">
        <f>INDEX(优化后功能框架!$G$5:$G$37,MATCH($G214,优化后功能框架!$A$5:$A$37,0))</f>
        <v>成员4</v>
      </c>
      <c r="K214" s="7" t="str">
        <f>INDEX(优化后功能框架!$H$5:$H$37,MATCH($G214,优化后功能框架!$A$5:$A$37,0))</f>
        <v>生成器标准页</v>
      </c>
      <c r="L214" s="5" t="str">
        <f>INDEX(优化后功能框架!$I$5:$I$37,MATCH($G214,优化后功能框架!$A$5:$A$37,0))</f>
        <v>L2</v>
      </c>
      <c r="M214" s="5" t="str">
        <f>INDEX(优化后功能框架!$J$5:$J$37,MATCH($G214,优化后功能框架!$A$5:$A$37,0))</f>
        <v>P1</v>
      </c>
      <c r="N214" s="5" t="str">
        <f>INDEX(优化后功能框架!$M$5:$M$37,MATCH($G214,优化后功能框架!$A$5:$A$37,0))</f>
        <v>D8</v>
      </c>
      <c r="O214" s="7"/>
      <c r="P214" s="5"/>
    </row>
    <row r="215" spans="1:16">
      <c r="A215" s="5">
        <v>211</v>
      </c>
      <c r="B215" s="8" t="s">
        <v>1091</v>
      </c>
      <c r="C215" s="6" t="s">
        <v>944</v>
      </c>
      <c r="D215" s="6" t="s">
        <v>1078</v>
      </c>
      <c r="E215" s="6" t="s">
        <v>1079</v>
      </c>
      <c r="F215" s="6" t="s">
        <v>1092</v>
      </c>
      <c r="G215" s="40" t="s">
        <v>540</v>
      </c>
      <c r="H215" s="7" t="str">
        <f>INDEX(优化后功能框架!$C$5:$C$37,MATCH($G215,优化后功能框架!$A$5:$A$37,0))</f>
        <v>管理员人员管理</v>
      </c>
      <c r="I215" s="5" t="str">
        <f>INDEX(优化后功能框架!$F$5:$F$37,MATCH($G215,优化后功能框架!$A$5:$A$37,0))</f>
        <v>成员4</v>
      </c>
      <c r="J215" s="5" t="str">
        <f>INDEX(优化后功能框架!$G$5:$G$37,MATCH($G215,优化后功能框架!$A$5:$A$37,0))</f>
        <v>成员4</v>
      </c>
      <c r="K215" s="7" t="str">
        <f>INDEX(优化后功能框架!$H$5:$H$37,MATCH($G215,优化后功能框架!$A$5:$A$37,0))</f>
        <v>生成器标准页</v>
      </c>
      <c r="L215" s="5" t="str">
        <f>INDEX(优化后功能框架!$I$5:$I$37,MATCH($G215,优化后功能框架!$A$5:$A$37,0))</f>
        <v>L2</v>
      </c>
      <c r="M215" s="5" t="str">
        <f>INDEX(优化后功能框架!$J$5:$J$37,MATCH($G215,优化后功能框架!$A$5:$A$37,0))</f>
        <v>P1</v>
      </c>
      <c r="N215" s="5" t="str">
        <f>INDEX(优化后功能框架!$M$5:$M$37,MATCH($G215,优化后功能框架!$A$5:$A$37,0))</f>
        <v>D8</v>
      </c>
      <c r="O215" s="7"/>
      <c r="P215" s="5"/>
    </row>
    <row r="216" spans="1:16">
      <c r="A216" s="5">
        <v>212</v>
      </c>
      <c r="B216" s="8" t="s">
        <v>1093</v>
      </c>
      <c r="C216" s="6" t="s">
        <v>944</v>
      </c>
      <c r="D216" s="6" t="s">
        <v>1078</v>
      </c>
      <c r="E216" s="6" t="s">
        <v>1094</v>
      </c>
      <c r="F216" s="6" t="s">
        <v>1095</v>
      </c>
      <c r="G216" s="40" t="s">
        <v>540</v>
      </c>
      <c r="H216" s="7" t="str">
        <f>INDEX(优化后功能框架!$C$5:$C$37,MATCH($G216,优化后功能框架!$A$5:$A$37,0))</f>
        <v>管理员人员管理</v>
      </c>
      <c r="I216" s="5" t="str">
        <f>INDEX(优化后功能框架!$F$5:$F$37,MATCH($G216,优化后功能框架!$A$5:$A$37,0))</f>
        <v>成员4</v>
      </c>
      <c r="J216" s="5" t="str">
        <f>INDEX(优化后功能框架!$G$5:$G$37,MATCH($G216,优化后功能框架!$A$5:$A$37,0))</f>
        <v>成员4</v>
      </c>
      <c r="K216" s="7" t="str">
        <f>INDEX(优化后功能框架!$H$5:$H$37,MATCH($G216,优化后功能框架!$A$5:$A$37,0))</f>
        <v>生成器标准页</v>
      </c>
      <c r="L216" s="5" t="str">
        <f>INDEX(优化后功能框架!$I$5:$I$37,MATCH($G216,优化后功能框架!$A$5:$A$37,0))</f>
        <v>L2</v>
      </c>
      <c r="M216" s="5" t="str">
        <f>INDEX(优化后功能框架!$J$5:$J$37,MATCH($G216,优化后功能框架!$A$5:$A$37,0))</f>
        <v>P1</v>
      </c>
      <c r="N216" s="5" t="str">
        <f>INDEX(优化后功能框架!$M$5:$M$37,MATCH($G216,优化后功能框架!$A$5:$A$37,0))</f>
        <v>D8</v>
      </c>
      <c r="O216" s="7"/>
      <c r="P216" s="5"/>
    </row>
    <row r="217" spans="1:16">
      <c r="A217" s="5">
        <v>213</v>
      </c>
      <c r="B217" s="8" t="s">
        <v>1096</v>
      </c>
      <c r="C217" s="6" t="s">
        <v>944</v>
      </c>
      <c r="D217" s="6" t="s">
        <v>1078</v>
      </c>
      <c r="E217" s="6" t="s">
        <v>1094</v>
      </c>
      <c r="F217" s="6" t="s">
        <v>1068</v>
      </c>
      <c r="G217" s="40" t="s">
        <v>540</v>
      </c>
      <c r="H217" s="7" t="str">
        <f>INDEX(优化后功能框架!$C$5:$C$37,MATCH($G217,优化后功能框架!$A$5:$A$37,0))</f>
        <v>管理员人员管理</v>
      </c>
      <c r="I217" s="5" t="str">
        <f>INDEX(优化后功能框架!$F$5:$F$37,MATCH($G217,优化后功能框架!$A$5:$A$37,0))</f>
        <v>成员4</v>
      </c>
      <c r="J217" s="5" t="str">
        <f>INDEX(优化后功能框架!$G$5:$G$37,MATCH($G217,优化后功能框架!$A$5:$A$37,0))</f>
        <v>成员4</v>
      </c>
      <c r="K217" s="7" t="str">
        <f>INDEX(优化后功能框架!$H$5:$H$37,MATCH($G217,优化后功能框架!$A$5:$A$37,0))</f>
        <v>生成器标准页</v>
      </c>
      <c r="L217" s="5" t="str">
        <f>INDEX(优化后功能框架!$I$5:$I$37,MATCH($G217,优化后功能框架!$A$5:$A$37,0))</f>
        <v>L2</v>
      </c>
      <c r="M217" s="5" t="str">
        <f>INDEX(优化后功能框架!$J$5:$J$37,MATCH($G217,优化后功能框架!$A$5:$A$37,0))</f>
        <v>P1</v>
      </c>
      <c r="N217" s="5" t="str">
        <f>INDEX(优化后功能框架!$M$5:$M$37,MATCH($G217,优化后功能框架!$A$5:$A$37,0))</f>
        <v>D8</v>
      </c>
      <c r="O217" s="7"/>
      <c r="P217" s="5"/>
    </row>
    <row r="218" spans="1:16">
      <c r="A218" s="5">
        <v>214</v>
      </c>
      <c r="B218" s="8" t="s">
        <v>1097</v>
      </c>
      <c r="C218" s="6" t="s">
        <v>944</v>
      </c>
      <c r="D218" s="6" t="s">
        <v>1078</v>
      </c>
      <c r="E218" s="6" t="s">
        <v>1094</v>
      </c>
      <c r="F218" s="6" t="s">
        <v>1070</v>
      </c>
      <c r="G218" s="40" t="s">
        <v>540</v>
      </c>
      <c r="H218" s="7" t="str">
        <f>INDEX(优化后功能框架!$C$5:$C$37,MATCH($G218,优化后功能框架!$A$5:$A$37,0))</f>
        <v>管理员人员管理</v>
      </c>
      <c r="I218" s="5" t="str">
        <f>INDEX(优化后功能框架!$F$5:$F$37,MATCH($G218,优化后功能框架!$A$5:$A$37,0))</f>
        <v>成员4</v>
      </c>
      <c r="J218" s="5" t="str">
        <f>INDEX(优化后功能框架!$G$5:$G$37,MATCH($G218,优化后功能框架!$A$5:$A$37,0))</f>
        <v>成员4</v>
      </c>
      <c r="K218" s="7" t="str">
        <f>INDEX(优化后功能框架!$H$5:$H$37,MATCH($G218,优化后功能框架!$A$5:$A$37,0))</f>
        <v>生成器标准页</v>
      </c>
      <c r="L218" s="5" t="str">
        <f>INDEX(优化后功能框架!$I$5:$I$37,MATCH($G218,优化后功能框架!$A$5:$A$37,0))</f>
        <v>L2</v>
      </c>
      <c r="M218" s="5" t="str">
        <f>INDEX(优化后功能框架!$J$5:$J$37,MATCH($G218,优化后功能框架!$A$5:$A$37,0))</f>
        <v>P1</v>
      </c>
      <c r="N218" s="5" t="str">
        <f>INDEX(优化后功能框架!$M$5:$M$37,MATCH($G218,优化后功能框架!$A$5:$A$37,0))</f>
        <v>D8</v>
      </c>
      <c r="O218" s="7"/>
      <c r="P218" s="5"/>
    </row>
    <row r="219" spans="1:16" ht="25">
      <c r="A219" s="5">
        <v>215</v>
      </c>
      <c r="B219" s="8" t="s">
        <v>1098</v>
      </c>
      <c r="C219" s="6" t="s">
        <v>944</v>
      </c>
      <c r="D219" s="6" t="s">
        <v>1078</v>
      </c>
      <c r="E219" s="6" t="s">
        <v>1094</v>
      </c>
      <c r="F219" s="6" t="s">
        <v>1099</v>
      </c>
      <c r="G219" s="40" t="s">
        <v>443</v>
      </c>
      <c r="H219" s="7" t="str">
        <f>INDEX(优化后功能框架!$C$5:$C$37,MATCH($G219,优化后功能框架!$A$5:$A$37,0))</f>
        <v>公示</v>
      </c>
      <c r="I219" s="5" t="str">
        <f>INDEX(优化后功能框架!$F$5:$F$37,MATCH($G219,优化后功能框架!$A$5:$A$37,0))</f>
        <v>成员6</v>
      </c>
      <c r="J219" s="5" t="str">
        <f>INDEX(优化后功能框架!$G$5:$G$37,MATCH($G219,优化后功能框架!$A$5:$A$37,0))</f>
        <v>成员6</v>
      </c>
      <c r="K219" s="7" t="str">
        <f>INDEX(优化后功能框架!$H$5:$H$37,MATCH($G219,优化后功能框架!$A$5:$A$37,0))</f>
        <v>生成器标准页+门户页</v>
      </c>
      <c r="L219" s="5" t="str">
        <f>INDEX(优化后功能框架!$I$5:$I$37,MATCH($G219,优化后功能框架!$A$5:$A$37,0))</f>
        <v>L2</v>
      </c>
      <c r="M219" s="5" t="str">
        <f>INDEX(优化后功能框架!$J$5:$J$37,MATCH($G219,优化后功能框架!$A$5:$A$37,0))</f>
        <v>P1</v>
      </c>
      <c r="N219" s="5" t="str">
        <f>INDEX(优化后功能框架!$M$5:$M$37,MATCH($G219,优化后功能框架!$A$5:$A$37,0))</f>
        <v>D6</v>
      </c>
      <c r="O219" s="7"/>
      <c r="P219" s="5"/>
    </row>
    <row r="220" spans="1:16" ht="25">
      <c r="A220" s="5">
        <v>216</v>
      </c>
      <c r="B220" s="8" t="s">
        <v>1100</v>
      </c>
      <c r="C220" s="6" t="s">
        <v>944</v>
      </c>
      <c r="D220" s="6" t="s">
        <v>1078</v>
      </c>
      <c r="E220" s="6" t="s">
        <v>1094</v>
      </c>
      <c r="F220" s="6" t="s">
        <v>1101</v>
      </c>
      <c r="G220" s="40" t="s">
        <v>443</v>
      </c>
      <c r="H220" s="7" t="str">
        <f>INDEX(优化后功能框架!$C$5:$C$37,MATCH($G220,优化后功能框架!$A$5:$A$37,0))</f>
        <v>公示</v>
      </c>
      <c r="I220" s="5" t="str">
        <f>INDEX(优化后功能框架!$F$5:$F$37,MATCH($G220,优化后功能框架!$A$5:$A$37,0))</f>
        <v>成员6</v>
      </c>
      <c r="J220" s="5" t="str">
        <f>INDEX(优化后功能框架!$G$5:$G$37,MATCH($G220,优化后功能框架!$A$5:$A$37,0))</f>
        <v>成员6</v>
      </c>
      <c r="K220" s="7" t="str">
        <f>INDEX(优化后功能框架!$H$5:$H$37,MATCH($G220,优化后功能框架!$A$5:$A$37,0))</f>
        <v>生成器标准页+门户页</v>
      </c>
      <c r="L220" s="5" t="str">
        <f>INDEX(优化后功能框架!$I$5:$I$37,MATCH($G220,优化后功能框架!$A$5:$A$37,0))</f>
        <v>L2</v>
      </c>
      <c r="M220" s="5" t="str">
        <f>INDEX(优化后功能框架!$J$5:$J$37,MATCH($G220,优化后功能框架!$A$5:$A$37,0))</f>
        <v>P1</v>
      </c>
      <c r="N220" s="5" t="str">
        <f>INDEX(优化后功能框架!$M$5:$M$37,MATCH($G220,优化后功能框架!$A$5:$A$37,0))</f>
        <v>D6</v>
      </c>
      <c r="O220" s="7"/>
      <c r="P220" s="5"/>
    </row>
    <row r="221" spans="1:16">
      <c r="A221" s="5">
        <v>217</v>
      </c>
      <c r="B221" s="8" t="s">
        <v>1102</v>
      </c>
      <c r="C221" s="6" t="s">
        <v>944</v>
      </c>
      <c r="D221" s="6" t="s">
        <v>1078</v>
      </c>
      <c r="E221" s="6" t="s">
        <v>1094</v>
      </c>
      <c r="F221" s="6" t="s">
        <v>1103</v>
      </c>
      <c r="G221" s="40" t="s">
        <v>509</v>
      </c>
      <c r="H221" s="7" t="str">
        <f>INDEX(优化后功能框架!$C$5:$C$37,MATCH($G221,优化后功能框架!$A$5:$A$37,0))</f>
        <v>账号管理</v>
      </c>
      <c r="I221" s="5" t="str">
        <f>INDEX(优化后功能框架!$F$5:$F$37,MATCH($G221,优化后功能框架!$A$5:$A$37,0))</f>
        <v>成员2</v>
      </c>
      <c r="J221" s="5" t="str">
        <f>INDEX(优化后功能框架!$G$5:$G$37,MATCH($G221,优化后功能框架!$A$5:$A$37,0))</f>
        <v>成员2</v>
      </c>
      <c r="K221" s="7" t="str">
        <f>INDEX(优化后功能框架!$H$5:$H$37,MATCH($G221,优化后功能框架!$A$5:$A$37,0))</f>
        <v>生成器标准页</v>
      </c>
      <c r="L221" s="5" t="str">
        <f>INDEX(优化后功能框架!$I$5:$I$37,MATCH($G221,优化后功能框架!$A$5:$A$37,0))</f>
        <v>L2</v>
      </c>
      <c r="M221" s="5" t="str">
        <f>INDEX(优化后功能框架!$J$5:$J$37,MATCH($G221,优化后功能框架!$A$5:$A$37,0))</f>
        <v>P1</v>
      </c>
      <c r="N221" s="5" t="str">
        <f>INDEX(优化后功能框架!$M$5:$M$37,MATCH($G221,优化后功能框架!$A$5:$A$37,0))</f>
        <v>D5</v>
      </c>
      <c r="O221" s="7"/>
      <c r="P221" s="5"/>
    </row>
    <row r="222" spans="1:16">
      <c r="A222" s="5">
        <v>218</v>
      </c>
      <c r="B222" s="8" t="s">
        <v>1104</v>
      </c>
      <c r="C222" s="6" t="s">
        <v>944</v>
      </c>
      <c r="D222" s="6" t="s">
        <v>1078</v>
      </c>
      <c r="E222" s="6" t="s">
        <v>1094</v>
      </c>
      <c r="F222" s="6" t="s">
        <v>1105</v>
      </c>
      <c r="G222" s="40" t="s">
        <v>540</v>
      </c>
      <c r="H222" s="7" t="str">
        <f>INDEX(优化后功能框架!$C$5:$C$37,MATCH($G222,优化后功能框架!$A$5:$A$37,0))</f>
        <v>管理员人员管理</v>
      </c>
      <c r="I222" s="5" t="str">
        <f>INDEX(优化后功能框架!$F$5:$F$37,MATCH($G222,优化后功能框架!$A$5:$A$37,0))</f>
        <v>成员4</v>
      </c>
      <c r="J222" s="5" t="str">
        <f>INDEX(优化后功能框架!$G$5:$G$37,MATCH($G222,优化后功能框架!$A$5:$A$37,0))</f>
        <v>成员4</v>
      </c>
      <c r="K222" s="7" t="str">
        <f>INDEX(优化后功能框架!$H$5:$H$37,MATCH($G222,优化后功能框架!$A$5:$A$37,0))</f>
        <v>生成器标准页</v>
      </c>
      <c r="L222" s="5" t="str">
        <f>INDEX(优化后功能框架!$I$5:$I$37,MATCH($G222,优化后功能框架!$A$5:$A$37,0))</f>
        <v>L2</v>
      </c>
      <c r="M222" s="5" t="str">
        <f>INDEX(优化后功能框架!$J$5:$J$37,MATCH($G222,优化后功能框架!$A$5:$A$37,0))</f>
        <v>P1</v>
      </c>
      <c r="N222" s="5" t="str">
        <f>INDEX(优化后功能框架!$M$5:$M$37,MATCH($G222,优化后功能框架!$A$5:$A$37,0))</f>
        <v>D8</v>
      </c>
      <c r="O222" s="7"/>
      <c r="P222" s="5"/>
    </row>
    <row r="223" spans="1:16">
      <c r="A223" s="5">
        <v>219</v>
      </c>
      <c r="B223" s="8" t="s">
        <v>1106</v>
      </c>
      <c r="C223" s="6" t="s">
        <v>944</v>
      </c>
      <c r="D223" s="6" t="s">
        <v>1078</v>
      </c>
      <c r="E223" s="6" t="s">
        <v>1094</v>
      </c>
      <c r="F223" s="6" t="s">
        <v>1107</v>
      </c>
      <c r="G223" s="40" t="s">
        <v>540</v>
      </c>
      <c r="H223" s="7" t="str">
        <f>INDEX(优化后功能框架!$C$5:$C$37,MATCH($G223,优化后功能框架!$A$5:$A$37,0))</f>
        <v>管理员人员管理</v>
      </c>
      <c r="I223" s="5" t="str">
        <f>INDEX(优化后功能框架!$F$5:$F$37,MATCH($G223,优化后功能框架!$A$5:$A$37,0))</f>
        <v>成员4</v>
      </c>
      <c r="J223" s="5" t="str">
        <f>INDEX(优化后功能框架!$G$5:$G$37,MATCH($G223,优化后功能框架!$A$5:$A$37,0))</f>
        <v>成员4</v>
      </c>
      <c r="K223" s="7" t="str">
        <f>INDEX(优化后功能框架!$H$5:$H$37,MATCH($G223,优化后功能框架!$A$5:$A$37,0))</f>
        <v>生成器标准页</v>
      </c>
      <c r="L223" s="5" t="str">
        <f>INDEX(优化后功能框架!$I$5:$I$37,MATCH($G223,优化后功能框架!$A$5:$A$37,0))</f>
        <v>L2</v>
      </c>
      <c r="M223" s="5" t="str">
        <f>INDEX(优化后功能框架!$J$5:$J$37,MATCH($G223,优化后功能框架!$A$5:$A$37,0))</f>
        <v>P1</v>
      </c>
      <c r="N223" s="5" t="str">
        <f>INDEX(优化后功能框架!$M$5:$M$37,MATCH($G223,优化后功能框架!$A$5:$A$37,0))</f>
        <v>D8</v>
      </c>
      <c r="O223" s="7"/>
      <c r="P223" s="5"/>
    </row>
    <row r="224" spans="1:16">
      <c r="A224" s="5">
        <v>220</v>
      </c>
      <c r="B224" s="8" t="s">
        <v>1108</v>
      </c>
      <c r="C224" s="6" t="s">
        <v>944</v>
      </c>
      <c r="D224" s="6" t="s">
        <v>1078</v>
      </c>
      <c r="E224" s="6" t="s">
        <v>1109</v>
      </c>
      <c r="F224" s="6" t="s">
        <v>1064</v>
      </c>
      <c r="G224" s="40" t="s">
        <v>558</v>
      </c>
      <c r="H224" s="7" t="str">
        <f>INDEX(优化后功能框架!$C$5:$C$37,MATCH($G224,优化后功能框架!$A$5:$A$37,0))</f>
        <v>管理员参赛查看</v>
      </c>
      <c r="I224" s="5" t="str">
        <f>INDEX(优化后功能框架!$F$5:$F$37,MATCH($G224,优化后功能框架!$A$5:$A$37,0))</f>
        <v>成员4</v>
      </c>
      <c r="J224" s="5" t="str">
        <f>INDEX(优化后功能框架!$G$5:$G$37,MATCH($G224,优化后功能框架!$A$5:$A$37,0))</f>
        <v>成员4</v>
      </c>
      <c r="K224" s="7" t="str">
        <f>INDEX(优化后功能框架!$H$5:$H$37,MATCH($G224,优化后功能框架!$A$5:$A$37,0))</f>
        <v>生成器标准页</v>
      </c>
      <c r="L224" s="5" t="str">
        <f>INDEX(优化后功能框架!$I$5:$I$37,MATCH($G224,优化后功能框架!$A$5:$A$37,0))</f>
        <v>L2</v>
      </c>
      <c r="M224" s="5" t="str">
        <f>INDEX(优化后功能框架!$J$5:$J$37,MATCH($G224,优化后功能框架!$A$5:$A$37,0))</f>
        <v>P1</v>
      </c>
      <c r="N224" s="5" t="str">
        <f>INDEX(优化后功能框架!$M$5:$M$37,MATCH($G224,优化后功能框架!$A$5:$A$37,0))</f>
        <v>D8</v>
      </c>
      <c r="O224" s="7"/>
      <c r="P224" s="5"/>
    </row>
    <row r="225" spans="1:16">
      <c r="A225" s="5">
        <v>221</v>
      </c>
      <c r="B225" s="8" t="s">
        <v>1110</v>
      </c>
      <c r="C225" s="6" t="s">
        <v>944</v>
      </c>
      <c r="D225" s="6" t="s">
        <v>1078</v>
      </c>
      <c r="E225" s="6" t="s">
        <v>1109</v>
      </c>
      <c r="F225" s="6" t="s">
        <v>1111</v>
      </c>
      <c r="G225" s="40" t="s">
        <v>558</v>
      </c>
      <c r="H225" s="7" t="str">
        <f>INDEX(优化后功能框架!$C$5:$C$37,MATCH($G225,优化后功能框架!$A$5:$A$37,0))</f>
        <v>管理员参赛查看</v>
      </c>
      <c r="I225" s="5" t="str">
        <f>INDEX(优化后功能框架!$F$5:$F$37,MATCH($G225,优化后功能框架!$A$5:$A$37,0))</f>
        <v>成员4</v>
      </c>
      <c r="J225" s="5" t="str">
        <f>INDEX(优化后功能框架!$G$5:$G$37,MATCH($G225,优化后功能框架!$A$5:$A$37,0))</f>
        <v>成员4</v>
      </c>
      <c r="K225" s="7" t="str">
        <f>INDEX(优化后功能框架!$H$5:$H$37,MATCH($G225,优化后功能框架!$A$5:$A$37,0))</f>
        <v>生成器标准页</v>
      </c>
      <c r="L225" s="5" t="str">
        <f>INDEX(优化后功能框架!$I$5:$I$37,MATCH($G225,优化后功能框架!$A$5:$A$37,0))</f>
        <v>L2</v>
      </c>
      <c r="M225" s="5" t="str">
        <f>INDEX(优化后功能框架!$J$5:$J$37,MATCH($G225,优化后功能框架!$A$5:$A$37,0))</f>
        <v>P1</v>
      </c>
      <c r="N225" s="5" t="str">
        <f>INDEX(优化后功能框架!$M$5:$M$37,MATCH($G225,优化后功能框架!$A$5:$A$37,0))</f>
        <v>D8</v>
      </c>
      <c r="O225" s="7"/>
      <c r="P225" s="5"/>
    </row>
    <row r="226" spans="1:16">
      <c r="A226" s="5">
        <v>222</v>
      </c>
      <c r="B226" s="8" t="s">
        <v>1112</v>
      </c>
      <c r="C226" s="6" t="s">
        <v>944</v>
      </c>
      <c r="D226" s="6" t="s">
        <v>1078</v>
      </c>
      <c r="E226" s="6" t="s">
        <v>1109</v>
      </c>
      <c r="F226" s="6" t="s">
        <v>1113</v>
      </c>
      <c r="G226" s="40" t="s">
        <v>558</v>
      </c>
      <c r="H226" s="7" t="str">
        <f>INDEX(优化后功能框架!$C$5:$C$37,MATCH($G226,优化后功能框架!$A$5:$A$37,0))</f>
        <v>管理员参赛查看</v>
      </c>
      <c r="I226" s="5" t="str">
        <f>INDEX(优化后功能框架!$F$5:$F$37,MATCH($G226,优化后功能框架!$A$5:$A$37,0))</f>
        <v>成员4</v>
      </c>
      <c r="J226" s="5" t="str">
        <f>INDEX(优化后功能框架!$G$5:$G$37,MATCH($G226,优化后功能框架!$A$5:$A$37,0))</f>
        <v>成员4</v>
      </c>
      <c r="K226" s="7" t="str">
        <f>INDEX(优化后功能框架!$H$5:$H$37,MATCH($G226,优化后功能框架!$A$5:$A$37,0))</f>
        <v>生成器标准页</v>
      </c>
      <c r="L226" s="5" t="str">
        <f>INDEX(优化后功能框架!$I$5:$I$37,MATCH($G226,优化后功能框架!$A$5:$A$37,0))</f>
        <v>L2</v>
      </c>
      <c r="M226" s="5" t="str">
        <f>INDEX(优化后功能框架!$J$5:$J$37,MATCH($G226,优化后功能框架!$A$5:$A$37,0))</f>
        <v>P1</v>
      </c>
      <c r="N226" s="5" t="str">
        <f>INDEX(优化后功能框架!$M$5:$M$37,MATCH($G226,优化后功能框架!$A$5:$A$37,0))</f>
        <v>D8</v>
      </c>
      <c r="O226" s="7"/>
      <c r="P226" s="5"/>
    </row>
    <row r="227" spans="1:16">
      <c r="A227" s="5">
        <v>223</v>
      </c>
      <c r="B227" s="8" t="s">
        <v>1114</v>
      </c>
      <c r="C227" s="6" t="s">
        <v>944</v>
      </c>
      <c r="D227" s="6" t="s">
        <v>1078</v>
      </c>
      <c r="E227" s="6" t="s">
        <v>1109</v>
      </c>
      <c r="F227" s="6" t="s">
        <v>1115</v>
      </c>
      <c r="G227" s="40" t="s">
        <v>558</v>
      </c>
      <c r="H227" s="7" t="str">
        <f>INDEX(优化后功能框架!$C$5:$C$37,MATCH($G227,优化后功能框架!$A$5:$A$37,0))</f>
        <v>管理员参赛查看</v>
      </c>
      <c r="I227" s="5" t="str">
        <f>INDEX(优化后功能框架!$F$5:$F$37,MATCH($G227,优化后功能框架!$A$5:$A$37,0))</f>
        <v>成员4</v>
      </c>
      <c r="J227" s="5" t="str">
        <f>INDEX(优化后功能框架!$G$5:$G$37,MATCH($G227,优化后功能框架!$A$5:$A$37,0))</f>
        <v>成员4</v>
      </c>
      <c r="K227" s="7" t="str">
        <f>INDEX(优化后功能框架!$H$5:$H$37,MATCH($G227,优化后功能框架!$A$5:$A$37,0))</f>
        <v>生成器标准页</v>
      </c>
      <c r="L227" s="5" t="str">
        <f>INDEX(优化后功能框架!$I$5:$I$37,MATCH($G227,优化后功能框架!$A$5:$A$37,0))</f>
        <v>L2</v>
      </c>
      <c r="M227" s="5" t="str">
        <f>INDEX(优化后功能框架!$J$5:$J$37,MATCH($G227,优化后功能框架!$A$5:$A$37,0))</f>
        <v>P1</v>
      </c>
      <c r="N227" s="5" t="str">
        <f>INDEX(优化后功能框架!$M$5:$M$37,MATCH($G227,优化后功能框架!$A$5:$A$37,0))</f>
        <v>D8</v>
      </c>
      <c r="O227" s="7"/>
      <c r="P227" s="5"/>
    </row>
    <row r="228" spans="1:16">
      <c r="A228" s="5">
        <v>224</v>
      </c>
      <c r="B228" s="8" t="s">
        <v>1116</v>
      </c>
      <c r="C228" s="6" t="s">
        <v>944</v>
      </c>
      <c r="D228" s="6" t="s">
        <v>1078</v>
      </c>
      <c r="E228" s="6" t="s">
        <v>1109</v>
      </c>
      <c r="F228" s="6" t="s">
        <v>1062</v>
      </c>
      <c r="G228" s="40" t="s">
        <v>509</v>
      </c>
      <c r="H228" s="7" t="str">
        <f>INDEX(优化后功能框架!$C$5:$C$37,MATCH($G228,优化后功能框架!$A$5:$A$37,0))</f>
        <v>账号管理</v>
      </c>
      <c r="I228" s="5" t="str">
        <f>INDEX(优化后功能框架!$F$5:$F$37,MATCH($G228,优化后功能框架!$A$5:$A$37,0))</f>
        <v>成员2</v>
      </c>
      <c r="J228" s="5" t="str">
        <f>INDEX(优化后功能框架!$G$5:$G$37,MATCH($G228,优化后功能框架!$A$5:$A$37,0))</f>
        <v>成员2</v>
      </c>
      <c r="K228" s="7" t="str">
        <f>INDEX(优化后功能框架!$H$5:$H$37,MATCH($G228,优化后功能框架!$A$5:$A$37,0))</f>
        <v>生成器标准页</v>
      </c>
      <c r="L228" s="5" t="str">
        <f>INDEX(优化后功能框架!$I$5:$I$37,MATCH($G228,优化后功能框架!$A$5:$A$37,0))</f>
        <v>L2</v>
      </c>
      <c r="M228" s="5" t="str">
        <f>INDEX(优化后功能框架!$J$5:$J$37,MATCH($G228,优化后功能框架!$A$5:$A$37,0))</f>
        <v>P1</v>
      </c>
      <c r="N228" s="5" t="str">
        <f>INDEX(优化后功能框架!$M$5:$M$37,MATCH($G228,优化后功能框架!$A$5:$A$37,0))</f>
        <v>D5</v>
      </c>
      <c r="O228" s="7"/>
      <c r="P228" s="5"/>
    </row>
    <row r="229" spans="1:16">
      <c r="A229" s="5">
        <v>225</v>
      </c>
      <c r="B229" s="8" t="s">
        <v>1117</v>
      </c>
      <c r="C229" s="6" t="s">
        <v>944</v>
      </c>
      <c r="D229" s="6" t="s">
        <v>1078</v>
      </c>
      <c r="E229" s="6" t="s">
        <v>1109</v>
      </c>
      <c r="F229" s="6" t="s">
        <v>1118</v>
      </c>
      <c r="G229" s="40" t="s">
        <v>558</v>
      </c>
      <c r="H229" s="7" t="str">
        <f>INDEX(优化后功能框架!$C$5:$C$37,MATCH($G229,优化后功能框架!$A$5:$A$37,0))</f>
        <v>管理员参赛查看</v>
      </c>
      <c r="I229" s="5" t="str">
        <f>INDEX(优化后功能框架!$F$5:$F$37,MATCH($G229,优化后功能框架!$A$5:$A$37,0))</f>
        <v>成员4</v>
      </c>
      <c r="J229" s="5" t="str">
        <f>INDEX(优化后功能框架!$G$5:$G$37,MATCH($G229,优化后功能框架!$A$5:$A$37,0))</f>
        <v>成员4</v>
      </c>
      <c r="K229" s="7" t="str">
        <f>INDEX(优化后功能框架!$H$5:$H$37,MATCH($G229,优化后功能框架!$A$5:$A$37,0))</f>
        <v>生成器标准页</v>
      </c>
      <c r="L229" s="5" t="str">
        <f>INDEX(优化后功能框架!$I$5:$I$37,MATCH($G229,优化后功能框架!$A$5:$A$37,0))</f>
        <v>L2</v>
      </c>
      <c r="M229" s="5" t="str">
        <f>INDEX(优化后功能框架!$J$5:$J$37,MATCH($G229,优化后功能框架!$A$5:$A$37,0))</f>
        <v>P1</v>
      </c>
      <c r="N229" s="5" t="str">
        <f>INDEX(优化后功能框架!$M$5:$M$37,MATCH($G229,优化后功能框架!$A$5:$A$37,0))</f>
        <v>D8</v>
      </c>
      <c r="O229" s="7"/>
      <c r="P229" s="5"/>
    </row>
    <row r="230" spans="1:16">
      <c r="A230" s="5">
        <v>226</v>
      </c>
      <c r="B230" s="8" t="s">
        <v>1119</v>
      </c>
      <c r="C230" s="6" t="s">
        <v>944</v>
      </c>
      <c r="D230" s="6" t="s">
        <v>1078</v>
      </c>
      <c r="E230" s="6" t="s">
        <v>1109</v>
      </c>
      <c r="F230" s="6" t="s">
        <v>1120</v>
      </c>
      <c r="G230" s="40" t="s">
        <v>558</v>
      </c>
      <c r="H230" s="7" t="str">
        <f>INDEX(优化后功能框架!$C$5:$C$37,MATCH($G230,优化后功能框架!$A$5:$A$37,0))</f>
        <v>管理员参赛查看</v>
      </c>
      <c r="I230" s="5" t="str">
        <f>INDEX(优化后功能框架!$F$5:$F$37,MATCH($G230,优化后功能框架!$A$5:$A$37,0))</f>
        <v>成员4</v>
      </c>
      <c r="J230" s="5" t="str">
        <f>INDEX(优化后功能框架!$G$5:$G$37,MATCH($G230,优化后功能框架!$A$5:$A$37,0))</f>
        <v>成员4</v>
      </c>
      <c r="K230" s="7" t="str">
        <f>INDEX(优化后功能框架!$H$5:$H$37,MATCH($G230,优化后功能框架!$A$5:$A$37,0))</f>
        <v>生成器标准页</v>
      </c>
      <c r="L230" s="5" t="str">
        <f>INDEX(优化后功能框架!$I$5:$I$37,MATCH($G230,优化后功能框架!$A$5:$A$37,0))</f>
        <v>L2</v>
      </c>
      <c r="M230" s="5" t="str">
        <f>INDEX(优化后功能框架!$J$5:$J$37,MATCH($G230,优化后功能框架!$A$5:$A$37,0))</f>
        <v>P1</v>
      </c>
      <c r="N230" s="5" t="str">
        <f>INDEX(优化后功能框架!$M$5:$M$37,MATCH($G230,优化后功能框架!$A$5:$A$37,0))</f>
        <v>D8</v>
      </c>
      <c r="O230" s="7"/>
      <c r="P230" s="5"/>
    </row>
    <row r="231" spans="1:16">
      <c r="A231" s="5">
        <v>227</v>
      </c>
      <c r="B231" s="8" t="s">
        <v>1121</v>
      </c>
      <c r="C231" s="6" t="s">
        <v>944</v>
      </c>
      <c r="D231" s="6" t="s">
        <v>1078</v>
      </c>
      <c r="E231" s="6" t="s">
        <v>1109</v>
      </c>
      <c r="F231" s="6" t="s">
        <v>1122</v>
      </c>
      <c r="G231" s="40" t="s">
        <v>558</v>
      </c>
      <c r="H231" s="7" t="str">
        <f>INDEX(优化后功能框架!$C$5:$C$37,MATCH($G231,优化后功能框架!$A$5:$A$37,0))</f>
        <v>管理员参赛查看</v>
      </c>
      <c r="I231" s="5" t="str">
        <f>INDEX(优化后功能框架!$F$5:$F$37,MATCH($G231,优化后功能框架!$A$5:$A$37,0))</f>
        <v>成员4</v>
      </c>
      <c r="J231" s="5" t="str">
        <f>INDEX(优化后功能框架!$G$5:$G$37,MATCH($G231,优化后功能框架!$A$5:$A$37,0))</f>
        <v>成员4</v>
      </c>
      <c r="K231" s="7" t="str">
        <f>INDEX(优化后功能框架!$H$5:$H$37,MATCH($G231,优化后功能框架!$A$5:$A$37,0))</f>
        <v>生成器标准页</v>
      </c>
      <c r="L231" s="5" t="str">
        <f>INDEX(优化后功能框架!$I$5:$I$37,MATCH($G231,优化后功能框架!$A$5:$A$37,0))</f>
        <v>L2</v>
      </c>
      <c r="M231" s="5" t="str">
        <f>INDEX(优化后功能框架!$J$5:$J$37,MATCH($G231,优化后功能框架!$A$5:$A$37,0))</f>
        <v>P1</v>
      </c>
      <c r="N231" s="5" t="str">
        <f>INDEX(优化后功能框架!$M$5:$M$37,MATCH($G231,优化后功能框架!$A$5:$A$37,0))</f>
        <v>D8</v>
      </c>
      <c r="O231" s="7"/>
      <c r="P231" s="5"/>
    </row>
    <row r="232" spans="1:16">
      <c r="A232" s="5">
        <v>228</v>
      </c>
      <c r="B232" s="8" t="s">
        <v>1123</v>
      </c>
      <c r="C232" s="6" t="s">
        <v>944</v>
      </c>
      <c r="D232" s="6" t="s">
        <v>1078</v>
      </c>
      <c r="E232" s="6" t="s">
        <v>1109</v>
      </c>
      <c r="F232" s="6" t="s">
        <v>1124</v>
      </c>
      <c r="G232" s="40" t="s">
        <v>605</v>
      </c>
      <c r="H232" s="7" t="str">
        <f>INDEX(优化后功能框架!$C$5:$C$37,MATCH($G232,优化后功能框架!$A$5:$A$37,0))</f>
        <v>遴选档案聚合</v>
      </c>
      <c r="I232" s="5" t="str">
        <f>INDEX(优化后功能框架!$F$5:$F$37,MATCH($G232,优化后功能框架!$A$5:$A$37,0))</f>
        <v>成员4</v>
      </c>
      <c r="J232" s="5" t="str">
        <f>INDEX(优化后功能框架!$G$5:$G$37,MATCH($G232,优化后功能框架!$A$5:$A$37,0))</f>
        <v>成员6</v>
      </c>
      <c r="K232" s="7" t="str">
        <f>INDEX(优化后功能框架!$H$5:$H$37,MATCH($G232,优化后功能框架!$A$5:$A$37,0))</f>
        <v>生成器标准页</v>
      </c>
      <c r="L232" s="5" t="str">
        <f>INDEX(优化后功能框架!$I$5:$I$37,MATCH($G232,优化后功能框架!$A$5:$A$37,0))</f>
        <v>L2</v>
      </c>
      <c r="M232" s="5" t="str">
        <f>INDEX(优化后功能框架!$J$5:$J$37,MATCH($G232,优化后功能框架!$A$5:$A$37,0))</f>
        <v>P1</v>
      </c>
      <c r="N232" s="5" t="str">
        <f>INDEX(优化后功能框架!$M$5:$M$37,MATCH($G232,优化后功能框架!$A$5:$A$37,0))</f>
        <v>D8</v>
      </c>
      <c r="O232" s="7"/>
      <c r="P232" s="5"/>
    </row>
    <row r="233" spans="1:16">
      <c r="A233" s="5">
        <v>229</v>
      </c>
      <c r="B233" s="8" t="s">
        <v>1125</v>
      </c>
      <c r="C233" s="6" t="s">
        <v>944</v>
      </c>
      <c r="D233" s="6" t="s">
        <v>1078</v>
      </c>
      <c r="E233" s="6" t="s">
        <v>1109</v>
      </c>
      <c r="F233" s="6" t="s">
        <v>1126</v>
      </c>
      <c r="G233" s="40" t="s">
        <v>605</v>
      </c>
      <c r="H233" s="7" t="str">
        <f>INDEX(优化后功能框架!$C$5:$C$37,MATCH($G233,优化后功能框架!$A$5:$A$37,0))</f>
        <v>遴选档案聚合</v>
      </c>
      <c r="I233" s="5" t="str">
        <f>INDEX(优化后功能框架!$F$5:$F$37,MATCH($G233,优化后功能框架!$A$5:$A$37,0))</f>
        <v>成员4</v>
      </c>
      <c r="J233" s="5" t="str">
        <f>INDEX(优化后功能框架!$G$5:$G$37,MATCH($G233,优化后功能框架!$A$5:$A$37,0))</f>
        <v>成员6</v>
      </c>
      <c r="K233" s="7" t="str">
        <f>INDEX(优化后功能框架!$H$5:$H$37,MATCH($G233,优化后功能框架!$A$5:$A$37,0))</f>
        <v>生成器标准页</v>
      </c>
      <c r="L233" s="5" t="str">
        <f>INDEX(优化后功能框架!$I$5:$I$37,MATCH($G233,优化后功能框架!$A$5:$A$37,0))</f>
        <v>L2</v>
      </c>
      <c r="M233" s="5" t="str">
        <f>INDEX(优化后功能框架!$J$5:$J$37,MATCH($G233,优化后功能框架!$A$5:$A$37,0))</f>
        <v>P1</v>
      </c>
      <c r="N233" s="5" t="str">
        <f>INDEX(优化后功能框架!$M$5:$M$37,MATCH($G233,优化后功能框架!$A$5:$A$37,0))</f>
        <v>D8</v>
      </c>
      <c r="O233" s="7"/>
      <c r="P233" s="5"/>
    </row>
    <row r="234" spans="1:16">
      <c r="A234" s="5">
        <v>230</v>
      </c>
      <c r="B234" s="8" t="s">
        <v>1127</v>
      </c>
      <c r="C234" s="6" t="s">
        <v>944</v>
      </c>
      <c r="D234" s="6" t="s">
        <v>1078</v>
      </c>
      <c r="E234" s="6" t="s">
        <v>1109</v>
      </c>
      <c r="F234" s="6" t="s">
        <v>1128</v>
      </c>
      <c r="G234" s="40" t="s">
        <v>605</v>
      </c>
      <c r="H234" s="7" t="str">
        <f>INDEX(优化后功能框架!$C$5:$C$37,MATCH($G234,优化后功能框架!$A$5:$A$37,0))</f>
        <v>遴选档案聚合</v>
      </c>
      <c r="I234" s="5" t="str">
        <f>INDEX(优化后功能框架!$F$5:$F$37,MATCH($G234,优化后功能框架!$A$5:$A$37,0))</f>
        <v>成员4</v>
      </c>
      <c r="J234" s="5" t="str">
        <f>INDEX(优化后功能框架!$G$5:$G$37,MATCH($G234,优化后功能框架!$A$5:$A$37,0))</f>
        <v>成员6</v>
      </c>
      <c r="K234" s="7" t="str">
        <f>INDEX(优化后功能框架!$H$5:$H$37,MATCH($G234,优化后功能框架!$A$5:$A$37,0))</f>
        <v>生成器标准页</v>
      </c>
      <c r="L234" s="5" t="str">
        <f>INDEX(优化后功能框架!$I$5:$I$37,MATCH($G234,优化后功能框架!$A$5:$A$37,0))</f>
        <v>L2</v>
      </c>
      <c r="M234" s="5" t="str">
        <f>INDEX(优化后功能框架!$J$5:$J$37,MATCH($G234,优化后功能框架!$A$5:$A$37,0))</f>
        <v>P1</v>
      </c>
      <c r="N234" s="5" t="str">
        <f>INDEX(优化后功能框架!$M$5:$M$37,MATCH($G234,优化后功能框架!$A$5:$A$37,0))</f>
        <v>D8</v>
      </c>
      <c r="O234" s="7"/>
      <c r="P234" s="5"/>
    </row>
    <row r="235" spans="1:16" ht="25">
      <c r="A235" s="5">
        <v>231</v>
      </c>
      <c r="B235" s="8" t="s">
        <v>1129</v>
      </c>
      <c r="C235" s="6" t="s">
        <v>944</v>
      </c>
      <c r="D235" s="6" t="s">
        <v>1078</v>
      </c>
      <c r="E235" s="6" t="s">
        <v>1130</v>
      </c>
      <c r="F235" s="6" t="s">
        <v>1131</v>
      </c>
      <c r="G235" s="40" t="s">
        <v>437</v>
      </c>
      <c r="H235" s="7" t="str">
        <f>INDEX(优化后功能框架!$C$5:$C$37,MATCH($G235,优化后功能框架!$A$5:$A$37,0))</f>
        <v>遴选评分与结果</v>
      </c>
      <c r="I235" s="5" t="str">
        <f>INDEX(优化后功能框架!$F$5:$F$37,MATCH($G235,优化后功能框架!$A$5:$A$37,0))</f>
        <v>成员6</v>
      </c>
      <c r="J235" s="5" t="str">
        <f>INDEX(优化后功能框架!$G$5:$G$37,MATCH($G235,优化后功能框架!$A$5:$A$37,0))</f>
        <v>成员6</v>
      </c>
      <c r="K235" s="7" t="str">
        <f>INDEX(优化后功能框架!$H$5:$H$37,MATCH($G235,优化后功能框架!$A$5:$A$37,0))</f>
        <v>手写页(复用标准组件)</v>
      </c>
      <c r="L235" s="5" t="str">
        <f>INDEX(优化后功能框架!$I$5:$I$37,MATCH($G235,优化后功能框架!$A$5:$A$37,0))</f>
        <v>L2</v>
      </c>
      <c r="M235" s="5" t="str">
        <f>INDEX(优化后功能框架!$J$5:$J$37,MATCH($G235,优化后功能框架!$A$5:$A$37,0))</f>
        <v>P1</v>
      </c>
      <c r="N235" s="5" t="str">
        <f>INDEX(优化后功能框架!$M$5:$M$37,MATCH($G235,优化后功能框架!$A$5:$A$37,0))</f>
        <v>D6</v>
      </c>
      <c r="O235" s="7"/>
      <c r="P235" s="5"/>
    </row>
    <row r="236" spans="1:16" ht="25">
      <c r="A236" s="5">
        <v>232</v>
      </c>
      <c r="B236" s="8" t="s">
        <v>1132</v>
      </c>
      <c r="C236" s="6" t="s">
        <v>944</v>
      </c>
      <c r="D236" s="6" t="s">
        <v>1078</v>
      </c>
      <c r="E236" s="6" t="s">
        <v>1130</v>
      </c>
      <c r="F236" s="6" t="s">
        <v>1133</v>
      </c>
      <c r="G236" s="40" t="s">
        <v>437</v>
      </c>
      <c r="H236" s="7" t="str">
        <f>INDEX(优化后功能框架!$C$5:$C$37,MATCH($G236,优化后功能框架!$A$5:$A$37,0))</f>
        <v>遴选评分与结果</v>
      </c>
      <c r="I236" s="5" t="str">
        <f>INDEX(优化后功能框架!$F$5:$F$37,MATCH($G236,优化后功能框架!$A$5:$A$37,0))</f>
        <v>成员6</v>
      </c>
      <c r="J236" s="5" t="str">
        <f>INDEX(优化后功能框架!$G$5:$G$37,MATCH($G236,优化后功能框架!$A$5:$A$37,0))</f>
        <v>成员6</v>
      </c>
      <c r="K236" s="7" t="str">
        <f>INDEX(优化后功能框架!$H$5:$H$37,MATCH($G236,优化后功能框架!$A$5:$A$37,0))</f>
        <v>手写页(复用标准组件)</v>
      </c>
      <c r="L236" s="5" t="str">
        <f>INDEX(优化后功能框架!$I$5:$I$37,MATCH($G236,优化后功能框架!$A$5:$A$37,0))</f>
        <v>L2</v>
      </c>
      <c r="M236" s="5" t="str">
        <f>INDEX(优化后功能框架!$J$5:$J$37,MATCH($G236,优化后功能框架!$A$5:$A$37,0))</f>
        <v>P1</v>
      </c>
      <c r="N236" s="5" t="str">
        <f>INDEX(优化后功能框架!$M$5:$M$37,MATCH($G236,优化后功能框架!$A$5:$A$37,0))</f>
        <v>D6</v>
      </c>
      <c r="O236" s="7"/>
      <c r="P236" s="5"/>
    </row>
    <row r="237" spans="1:16" ht="25">
      <c r="A237" s="5">
        <v>233</v>
      </c>
      <c r="B237" s="8" t="s">
        <v>1134</v>
      </c>
      <c r="C237" s="6" t="s">
        <v>944</v>
      </c>
      <c r="D237" s="6" t="s">
        <v>1078</v>
      </c>
      <c r="E237" s="6" t="s">
        <v>1130</v>
      </c>
      <c r="F237" s="6" t="s">
        <v>1135</v>
      </c>
      <c r="G237" s="40" t="s">
        <v>437</v>
      </c>
      <c r="H237" s="7" t="str">
        <f>INDEX(优化后功能框架!$C$5:$C$37,MATCH($G237,优化后功能框架!$A$5:$A$37,0))</f>
        <v>遴选评分与结果</v>
      </c>
      <c r="I237" s="5" t="str">
        <f>INDEX(优化后功能框架!$F$5:$F$37,MATCH($G237,优化后功能框架!$A$5:$A$37,0))</f>
        <v>成员6</v>
      </c>
      <c r="J237" s="5" t="str">
        <f>INDEX(优化后功能框架!$G$5:$G$37,MATCH($G237,优化后功能框架!$A$5:$A$37,0))</f>
        <v>成员6</v>
      </c>
      <c r="K237" s="7" t="str">
        <f>INDEX(优化后功能框架!$H$5:$H$37,MATCH($G237,优化后功能框架!$A$5:$A$37,0))</f>
        <v>手写页(复用标准组件)</v>
      </c>
      <c r="L237" s="5" t="str">
        <f>INDEX(优化后功能框架!$I$5:$I$37,MATCH($G237,优化后功能框架!$A$5:$A$37,0))</f>
        <v>L2</v>
      </c>
      <c r="M237" s="5" t="str">
        <f>INDEX(优化后功能框架!$J$5:$J$37,MATCH($G237,优化后功能框架!$A$5:$A$37,0))</f>
        <v>P1</v>
      </c>
      <c r="N237" s="5" t="str">
        <f>INDEX(优化后功能框架!$M$5:$M$37,MATCH($G237,优化后功能框架!$A$5:$A$37,0))</f>
        <v>D6</v>
      </c>
      <c r="O237" s="7"/>
      <c r="P237" s="5"/>
    </row>
    <row r="238" spans="1:16" ht="25">
      <c r="A238" s="5">
        <v>234</v>
      </c>
      <c r="B238" s="8" t="s">
        <v>1136</v>
      </c>
      <c r="C238" s="6" t="s">
        <v>944</v>
      </c>
      <c r="D238" s="6" t="s">
        <v>1078</v>
      </c>
      <c r="E238" s="6" t="s">
        <v>1130</v>
      </c>
      <c r="F238" s="6" t="s">
        <v>1137</v>
      </c>
      <c r="G238" s="40" t="s">
        <v>437</v>
      </c>
      <c r="H238" s="7" t="str">
        <f>INDEX(优化后功能框架!$C$5:$C$37,MATCH($G238,优化后功能框架!$A$5:$A$37,0))</f>
        <v>遴选评分与结果</v>
      </c>
      <c r="I238" s="5" t="str">
        <f>INDEX(优化后功能框架!$F$5:$F$37,MATCH($G238,优化后功能框架!$A$5:$A$37,0))</f>
        <v>成员6</v>
      </c>
      <c r="J238" s="5" t="str">
        <f>INDEX(优化后功能框架!$G$5:$G$37,MATCH($G238,优化后功能框架!$A$5:$A$37,0))</f>
        <v>成员6</v>
      </c>
      <c r="K238" s="7" t="str">
        <f>INDEX(优化后功能框架!$H$5:$H$37,MATCH($G238,优化后功能框架!$A$5:$A$37,0))</f>
        <v>手写页(复用标准组件)</v>
      </c>
      <c r="L238" s="5" t="str">
        <f>INDEX(优化后功能框架!$I$5:$I$37,MATCH($G238,优化后功能框架!$A$5:$A$37,0))</f>
        <v>L2</v>
      </c>
      <c r="M238" s="5" t="str">
        <f>INDEX(优化后功能框架!$J$5:$J$37,MATCH($G238,优化后功能框架!$A$5:$A$37,0))</f>
        <v>P1</v>
      </c>
      <c r="N238" s="5" t="str">
        <f>INDEX(优化后功能框架!$M$5:$M$37,MATCH($G238,优化后功能框架!$A$5:$A$37,0))</f>
        <v>D6</v>
      </c>
      <c r="O238" s="7"/>
      <c r="P238" s="5"/>
    </row>
    <row r="239" spans="1:16" ht="25">
      <c r="A239" s="5">
        <v>235</v>
      </c>
      <c r="B239" s="8" t="s">
        <v>1138</v>
      </c>
      <c r="C239" s="6" t="s">
        <v>944</v>
      </c>
      <c r="D239" s="6" t="s">
        <v>1078</v>
      </c>
      <c r="E239" s="6" t="s">
        <v>1130</v>
      </c>
      <c r="F239" s="6" t="s">
        <v>1139</v>
      </c>
      <c r="G239" s="40" t="s">
        <v>437</v>
      </c>
      <c r="H239" s="7" t="str">
        <f>INDEX(优化后功能框架!$C$5:$C$37,MATCH($G239,优化后功能框架!$A$5:$A$37,0))</f>
        <v>遴选评分与结果</v>
      </c>
      <c r="I239" s="5" t="str">
        <f>INDEX(优化后功能框架!$F$5:$F$37,MATCH($G239,优化后功能框架!$A$5:$A$37,0))</f>
        <v>成员6</v>
      </c>
      <c r="J239" s="5" t="str">
        <f>INDEX(优化后功能框架!$G$5:$G$37,MATCH($G239,优化后功能框架!$A$5:$A$37,0))</f>
        <v>成员6</v>
      </c>
      <c r="K239" s="7" t="str">
        <f>INDEX(优化后功能框架!$H$5:$H$37,MATCH($G239,优化后功能框架!$A$5:$A$37,0))</f>
        <v>手写页(复用标准组件)</v>
      </c>
      <c r="L239" s="5" t="str">
        <f>INDEX(优化后功能框架!$I$5:$I$37,MATCH($G239,优化后功能框架!$A$5:$A$37,0))</f>
        <v>L2</v>
      </c>
      <c r="M239" s="5" t="str">
        <f>INDEX(优化后功能框架!$J$5:$J$37,MATCH($G239,优化后功能框架!$A$5:$A$37,0))</f>
        <v>P1</v>
      </c>
      <c r="N239" s="5" t="str">
        <f>INDEX(优化后功能框架!$M$5:$M$37,MATCH($G239,优化后功能框架!$A$5:$A$37,0))</f>
        <v>D6</v>
      </c>
      <c r="O239" s="7"/>
      <c r="P239" s="5"/>
    </row>
    <row r="240" spans="1:16" ht="25">
      <c r="A240" s="5">
        <v>236</v>
      </c>
      <c r="B240" s="8" t="s">
        <v>1140</v>
      </c>
      <c r="C240" s="6" t="s">
        <v>944</v>
      </c>
      <c r="D240" s="6" t="s">
        <v>1078</v>
      </c>
      <c r="E240" s="6" t="s">
        <v>1130</v>
      </c>
      <c r="F240" s="6" t="s">
        <v>1141</v>
      </c>
      <c r="G240" s="40" t="s">
        <v>437</v>
      </c>
      <c r="H240" s="7" t="str">
        <f>INDEX(优化后功能框架!$C$5:$C$37,MATCH($G240,优化后功能框架!$A$5:$A$37,0))</f>
        <v>遴选评分与结果</v>
      </c>
      <c r="I240" s="5" t="str">
        <f>INDEX(优化后功能框架!$F$5:$F$37,MATCH($G240,优化后功能框架!$A$5:$A$37,0))</f>
        <v>成员6</v>
      </c>
      <c r="J240" s="5" t="str">
        <f>INDEX(优化后功能框架!$G$5:$G$37,MATCH($G240,优化后功能框架!$A$5:$A$37,0))</f>
        <v>成员6</v>
      </c>
      <c r="K240" s="7" t="str">
        <f>INDEX(优化后功能框架!$H$5:$H$37,MATCH($G240,优化后功能框架!$A$5:$A$37,0))</f>
        <v>手写页(复用标准组件)</v>
      </c>
      <c r="L240" s="5" t="str">
        <f>INDEX(优化后功能框架!$I$5:$I$37,MATCH($G240,优化后功能框架!$A$5:$A$37,0))</f>
        <v>L2</v>
      </c>
      <c r="M240" s="5" t="str">
        <f>INDEX(优化后功能框架!$J$5:$J$37,MATCH($G240,优化后功能框架!$A$5:$A$37,0))</f>
        <v>P1</v>
      </c>
      <c r="N240" s="5" t="str">
        <f>INDEX(优化后功能框架!$M$5:$M$37,MATCH($G240,优化后功能框架!$A$5:$A$37,0))</f>
        <v>D6</v>
      </c>
      <c r="O240" s="7"/>
      <c r="P240" s="5"/>
    </row>
    <row r="241" spans="1:16" ht="25">
      <c r="A241" s="5">
        <v>237</v>
      </c>
      <c r="B241" s="8" t="s">
        <v>1142</v>
      </c>
      <c r="C241" s="6" t="s">
        <v>944</v>
      </c>
      <c r="D241" s="6" t="s">
        <v>1078</v>
      </c>
      <c r="E241" s="6" t="s">
        <v>1130</v>
      </c>
      <c r="F241" s="6" t="s">
        <v>1143</v>
      </c>
      <c r="G241" s="40" t="s">
        <v>437</v>
      </c>
      <c r="H241" s="7" t="str">
        <f>INDEX(优化后功能框架!$C$5:$C$37,MATCH($G241,优化后功能框架!$A$5:$A$37,0))</f>
        <v>遴选评分与结果</v>
      </c>
      <c r="I241" s="5" t="str">
        <f>INDEX(优化后功能框架!$F$5:$F$37,MATCH($G241,优化后功能框架!$A$5:$A$37,0))</f>
        <v>成员6</v>
      </c>
      <c r="J241" s="5" t="str">
        <f>INDEX(优化后功能框架!$G$5:$G$37,MATCH($G241,优化后功能框架!$A$5:$A$37,0))</f>
        <v>成员6</v>
      </c>
      <c r="K241" s="7" t="str">
        <f>INDEX(优化后功能框架!$H$5:$H$37,MATCH($G241,优化后功能框架!$A$5:$A$37,0))</f>
        <v>手写页(复用标准组件)</v>
      </c>
      <c r="L241" s="5" t="str">
        <f>INDEX(优化后功能框架!$I$5:$I$37,MATCH($G241,优化后功能框架!$A$5:$A$37,0))</f>
        <v>L2</v>
      </c>
      <c r="M241" s="5" t="str">
        <f>INDEX(优化后功能框架!$J$5:$J$37,MATCH($G241,优化后功能框架!$A$5:$A$37,0))</f>
        <v>P1</v>
      </c>
      <c r="N241" s="5" t="str">
        <f>INDEX(优化后功能框架!$M$5:$M$37,MATCH($G241,优化后功能框架!$A$5:$A$37,0))</f>
        <v>D6</v>
      </c>
      <c r="O241" s="7"/>
      <c r="P241" s="5"/>
    </row>
    <row r="242" spans="1:16" ht="25">
      <c r="A242" s="5">
        <v>238</v>
      </c>
      <c r="B242" s="8" t="s">
        <v>1144</v>
      </c>
      <c r="C242" s="6" t="s">
        <v>944</v>
      </c>
      <c r="D242" s="6" t="s">
        <v>1078</v>
      </c>
      <c r="E242" s="6" t="s">
        <v>1130</v>
      </c>
      <c r="F242" s="6" t="s">
        <v>1145</v>
      </c>
      <c r="G242" s="40" t="s">
        <v>437</v>
      </c>
      <c r="H242" s="7" t="str">
        <f>INDEX(优化后功能框架!$C$5:$C$37,MATCH($G242,优化后功能框架!$A$5:$A$37,0))</f>
        <v>遴选评分与结果</v>
      </c>
      <c r="I242" s="5" t="str">
        <f>INDEX(优化后功能框架!$F$5:$F$37,MATCH($G242,优化后功能框架!$A$5:$A$37,0))</f>
        <v>成员6</v>
      </c>
      <c r="J242" s="5" t="str">
        <f>INDEX(优化后功能框架!$G$5:$G$37,MATCH($G242,优化后功能框架!$A$5:$A$37,0))</f>
        <v>成员6</v>
      </c>
      <c r="K242" s="7" t="str">
        <f>INDEX(优化后功能框架!$H$5:$H$37,MATCH($G242,优化后功能框架!$A$5:$A$37,0))</f>
        <v>手写页(复用标准组件)</v>
      </c>
      <c r="L242" s="5" t="str">
        <f>INDEX(优化后功能框架!$I$5:$I$37,MATCH($G242,优化后功能框架!$A$5:$A$37,0))</f>
        <v>L2</v>
      </c>
      <c r="M242" s="5" t="str">
        <f>INDEX(优化后功能框架!$J$5:$J$37,MATCH($G242,优化后功能框架!$A$5:$A$37,0))</f>
        <v>P1</v>
      </c>
      <c r="N242" s="5" t="str">
        <f>INDEX(优化后功能框架!$M$5:$M$37,MATCH($G242,优化后功能框架!$A$5:$A$37,0))</f>
        <v>D6</v>
      </c>
      <c r="O242" s="7"/>
      <c r="P242" s="5"/>
    </row>
    <row r="243" spans="1:16" ht="25">
      <c r="A243" s="5">
        <v>239</v>
      </c>
      <c r="B243" s="8" t="s">
        <v>1146</v>
      </c>
      <c r="C243" s="6" t="s">
        <v>944</v>
      </c>
      <c r="D243" s="6" t="s">
        <v>1078</v>
      </c>
      <c r="E243" s="6" t="s">
        <v>1130</v>
      </c>
      <c r="F243" s="6" t="s">
        <v>1147</v>
      </c>
      <c r="G243" s="40" t="s">
        <v>437</v>
      </c>
      <c r="H243" s="7" t="str">
        <f>INDEX(优化后功能框架!$C$5:$C$37,MATCH($G243,优化后功能框架!$A$5:$A$37,0))</f>
        <v>遴选评分与结果</v>
      </c>
      <c r="I243" s="5" t="str">
        <f>INDEX(优化后功能框架!$F$5:$F$37,MATCH($G243,优化后功能框架!$A$5:$A$37,0))</f>
        <v>成员6</v>
      </c>
      <c r="J243" s="5" t="str">
        <f>INDEX(优化后功能框架!$G$5:$G$37,MATCH($G243,优化后功能框架!$A$5:$A$37,0))</f>
        <v>成员6</v>
      </c>
      <c r="K243" s="7" t="str">
        <f>INDEX(优化后功能框架!$H$5:$H$37,MATCH($G243,优化后功能框架!$A$5:$A$37,0))</f>
        <v>手写页(复用标准组件)</v>
      </c>
      <c r="L243" s="5" t="str">
        <f>INDEX(优化后功能框架!$I$5:$I$37,MATCH($G243,优化后功能框架!$A$5:$A$37,0))</f>
        <v>L2</v>
      </c>
      <c r="M243" s="5" t="str">
        <f>INDEX(优化后功能框架!$J$5:$J$37,MATCH($G243,优化后功能框架!$A$5:$A$37,0))</f>
        <v>P1</v>
      </c>
      <c r="N243" s="5" t="str">
        <f>INDEX(优化后功能框架!$M$5:$M$37,MATCH($G243,优化后功能框架!$A$5:$A$37,0))</f>
        <v>D6</v>
      </c>
      <c r="O243" s="7"/>
      <c r="P243" s="5"/>
    </row>
    <row r="244" spans="1:16" ht="25">
      <c r="A244" s="5">
        <v>240</v>
      </c>
      <c r="B244" s="8" t="s">
        <v>1148</v>
      </c>
      <c r="C244" s="6" t="s">
        <v>944</v>
      </c>
      <c r="D244" s="6" t="s">
        <v>1078</v>
      </c>
      <c r="E244" s="6" t="s">
        <v>1130</v>
      </c>
      <c r="F244" s="6" t="s">
        <v>1149</v>
      </c>
      <c r="G244" s="40" t="s">
        <v>437</v>
      </c>
      <c r="H244" s="7" t="str">
        <f>INDEX(优化后功能框架!$C$5:$C$37,MATCH($G244,优化后功能框架!$A$5:$A$37,0))</f>
        <v>遴选评分与结果</v>
      </c>
      <c r="I244" s="5" t="str">
        <f>INDEX(优化后功能框架!$F$5:$F$37,MATCH($G244,优化后功能框架!$A$5:$A$37,0))</f>
        <v>成员6</v>
      </c>
      <c r="J244" s="5" t="str">
        <f>INDEX(优化后功能框架!$G$5:$G$37,MATCH($G244,优化后功能框架!$A$5:$A$37,0))</f>
        <v>成员6</v>
      </c>
      <c r="K244" s="7" t="str">
        <f>INDEX(优化后功能框架!$H$5:$H$37,MATCH($G244,优化后功能框架!$A$5:$A$37,0))</f>
        <v>手写页(复用标准组件)</v>
      </c>
      <c r="L244" s="5" t="str">
        <f>INDEX(优化后功能框架!$I$5:$I$37,MATCH($G244,优化后功能框架!$A$5:$A$37,0))</f>
        <v>L2</v>
      </c>
      <c r="M244" s="5" t="str">
        <f>INDEX(优化后功能框架!$J$5:$J$37,MATCH($G244,优化后功能框架!$A$5:$A$37,0))</f>
        <v>P1</v>
      </c>
      <c r="N244" s="5" t="str">
        <f>INDEX(优化后功能框架!$M$5:$M$37,MATCH($G244,优化后功能框架!$A$5:$A$37,0))</f>
        <v>D6</v>
      </c>
      <c r="O244" s="7"/>
      <c r="P244" s="5"/>
    </row>
    <row r="245" spans="1:16" ht="25">
      <c r="A245" s="5">
        <v>241</v>
      </c>
      <c r="B245" s="8" t="s">
        <v>1150</v>
      </c>
      <c r="C245" s="6" t="s">
        <v>944</v>
      </c>
      <c r="D245" s="6" t="s">
        <v>1078</v>
      </c>
      <c r="E245" s="6" t="s">
        <v>1130</v>
      </c>
      <c r="F245" s="6" t="s">
        <v>1151</v>
      </c>
      <c r="G245" s="40" t="s">
        <v>437</v>
      </c>
      <c r="H245" s="7" t="str">
        <f>INDEX(优化后功能框架!$C$5:$C$37,MATCH($G245,优化后功能框架!$A$5:$A$37,0))</f>
        <v>遴选评分与结果</v>
      </c>
      <c r="I245" s="5" t="str">
        <f>INDEX(优化后功能框架!$F$5:$F$37,MATCH($G245,优化后功能框架!$A$5:$A$37,0))</f>
        <v>成员6</v>
      </c>
      <c r="J245" s="5" t="str">
        <f>INDEX(优化后功能框架!$G$5:$G$37,MATCH($G245,优化后功能框架!$A$5:$A$37,0))</f>
        <v>成员6</v>
      </c>
      <c r="K245" s="7" t="str">
        <f>INDEX(优化后功能框架!$H$5:$H$37,MATCH($G245,优化后功能框架!$A$5:$A$37,0))</f>
        <v>手写页(复用标准组件)</v>
      </c>
      <c r="L245" s="5" t="str">
        <f>INDEX(优化后功能框架!$I$5:$I$37,MATCH($G245,优化后功能框架!$A$5:$A$37,0))</f>
        <v>L2</v>
      </c>
      <c r="M245" s="5" t="str">
        <f>INDEX(优化后功能框架!$J$5:$J$37,MATCH($G245,优化后功能框架!$A$5:$A$37,0))</f>
        <v>P1</v>
      </c>
      <c r="N245" s="5" t="str">
        <f>INDEX(优化后功能框架!$M$5:$M$37,MATCH($G245,优化后功能框架!$A$5:$A$37,0))</f>
        <v>D6</v>
      </c>
      <c r="O245" s="7"/>
      <c r="P245" s="5"/>
    </row>
    <row r="246" spans="1:16" ht="25">
      <c r="A246" s="5">
        <v>242</v>
      </c>
      <c r="B246" s="8" t="s">
        <v>1152</v>
      </c>
      <c r="C246" s="6" t="s">
        <v>944</v>
      </c>
      <c r="D246" s="6" t="s">
        <v>1078</v>
      </c>
      <c r="E246" s="6" t="s">
        <v>1130</v>
      </c>
      <c r="F246" s="6" t="s">
        <v>1153</v>
      </c>
      <c r="G246" s="40" t="s">
        <v>437</v>
      </c>
      <c r="H246" s="7" t="str">
        <f>INDEX(优化后功能框架!$C$5:$C$37,MATCH($G246,优化后功能框架!$A$5:$A$37,0))</f>
        <v>遴选评分与结果</v>
      </c>
      <c r="I246" s="5" t="str">
        <f>INDEX(优化后功能框架!$F$5:$F$37,MATCH($G246,优化后功能框架!$A$5:$A$37,0))</f>
        <v>成员6</v>
      </c>
      <c r="J246" s="5" t="str">
        <f>INDEX(优化后功能框架!$G$5:$G$37,MATCH($G246,优化后功能框架!$A$5:$A$37,0))</f>
        <v>成员6</v>
      </c>
      <c r="K246" s="7" t="str">
        <f>INDEX(优化后功能框架!$H$5:$H$37,MATCH($G246,优化后功能框架!$A$5:$A$37,0))</f>
        <v>手写页(复用标准组件)</v>
      </c>
      <c r="L246" s="5" t="str">
        <f>INDEX(优化后功能框架!$I$5:$I$37,MATCH($G246,优化后功能框架!$A$5:$A$37,0))</f>
        <v>L2</v>
      </c>
      <c r="M246" s="5" t="str">
        <f>INDEX(优化后功能框架!$J$5:$J$37,MATCH($G246,优化后功能框架!$A$5:$A$37,0))</f>
        <v>P1</v>
      </c>
      <c r="N246" s="5" t="str">
        <f>INDEX(优化后功能框架!$M$5:$M$37,MATCH($G246,优化后功能框架!$A$5:$A$37,0))</f>
        <v>D6</v>
      </c>
      <c r="O246" s="7"/>
      <c r="P246" s="5"/>
    </row>
    <row r="247" spans="1:16">
      <c r="A247" s="5">
        <v>243</v>
      </c>
      <c r="B247" s="8" t="s">
        <v>1154</v>
      </c>
      <c r="C247" s="6" t="s">
        <v>944</v>
      </c>
      <c r="D247" s="6" t="s">
        <v>1078</v>
      </c>
      <c r="E247" s="6" t="s">
        <v>1155</v>
      </c>
      <c r="F247" s="6" t="s">
        <v>1156</v>
      </c>
      <c r="G247" s="40" t="s">
        <v>504</v>
      </c>
      <c r="H247" s="7" t="str">
        <f>INDEX(优化后功能框架!$C$5:$C$37,MATCH($G247,优化后功能框架!$A$5:$A$37,0))</f>
        <v>日志审计</v>
      </c>
      <c r="I247" s="5" t="str">
        <f>INDEX(优化后功能框架!$F$5:$F$37,MATCH($G247,优化后功能框架!$A$5:$A$37,0))</f>
        <v>成员2</v>
      </c>
      <c r="J247" s="5" t="str">
        <f>INDEX(优化后功能框架!$G$5:$G$37,MATCH($G247,优化后功能框架!$A$5:$A$37,0))</f>
        <v>成员2</v>
      </c>
      <c r="K247" s="7" t="str">
        <f>INDEX(优化后功能框架!$H$5:$H$37,MATCH($G247,优化后功能框架!$A$5:$A$37,0))</f>
        <v>生成器标准页</v>
      </c>
      <c r="L247" s="5" t="str">
        <f>INDEX(优化后功能框架!$I$5:$I$37,MATCH($G247,优化后功能框架!$A$5:$A$37,0))</f>
        <v>L2</v>
      </c>
      <c r="M247" s="5" t="str">
        <f>INDEX(优化后功能框架!$J$5:$J$37,MATCH($G247,优化后功能框架!$A$5:$A$37,0))</f>
        <v>P1</v>
      </c>
      <c r="N247" s="5" t="str">
        <f>INDEX(优化后功能框架!$M$5:$M$37,MATCH($G247,优化后功能框架!$A$5:$A$37,0))</f>
        <v>D5</v>
      </c>
      <c r="O247" s="7"/>
      <c r="P247" s="5"/>
    </row>
    <row r="248" spans="1:16">
      <c r="A248" s="5">
        <v>244</v>
      </c>
      <c r="B248" s="8" t="s">
        <v>1157</v>
      </c>
      <c r="C248" s="6" t="s">
        <v>944</v>
      </c>
      <c r="D248" s="6" t="s">
        <v>1078</v>
      </c>
      <c r="E248" s="6" t="s">
        <v>1155</v>
      </c>
      <c r="F248" s="6" t="s">
        <v>1158</v>
      </c>
      <c r="G248" s="40" t="s">
        <v>504</v>
      </c>
      <c r="H248" s="7" t="str">
        <f>INDEX(优化后功能框架!$C$5:$C$37,MATCH($G248,优化后功能框架!$A$5:$A$37,0))</f>
        <v>日志审计</v>
      </c>
      <c r="I248" s="5" t="str">
        <f>INDEX(优化后功能框架!$F$5:$F$37,MATCH($G248,优化后功能框架!$A$5:$A$37,0))</f>
        <v>成员2</v>
      </c>
      <c r="J248" s="5" t="str">
        <f>INDEX(优化后功能框架!$G$5:$G$37,MATCH($G248,优化后功能框架!$A$5:$A$37,0))</f>
        <v>成员2</v>
      </c>
      <c r="K248" s="7" t="str">
        <f>INDEX(优化后功能框架!$H$5:$H$37,MATCH($G248,优化后功能框架!$A$5:$A$37,0))</f>
        <v>生成器标准页</v>
      </c>
      <c r="L248" s="5" t="str">
        <f>INDEX(优化后功能框架!$I$5:$I$37,MATCH($G248,优化后功能框架!$A$5:$A$37,0))</f>
        <v>L2</v>
      </c>
      <c r="M248" s="5" t="str">
        <f>INDEX(优化后功能框架!$J$5:$J$37,MATCH($G248,优化后功能框架!$A$5:$A$37,0))</f>
        <v>P1</v>
      </c>
      <c r="N248" s="5" t="str">
        <f>INDEX(优化后功能框架!$M$5:$M$37,MATCH($G248,优化后功能框架!$A$5:$A$37,0))</f>
        <v>D5</v>
      </c>
      <c r="O248" s="7"/>
      <c r="P248" s="5"/>
    </row>
  </sheetData>
  <autoFilter ref="A4:P248" xr:uid="{00000000-0009-0000-0000-00000B000000}"/>
  <phoneticPr fontId="27" type="noConversion"/>
  <dataValidations count="1">
    <dataValidation type="list" allowBlank="1" sqref="P5:P248" xr:uid="{00000000-0002-0000-0B00-000000000000}">
      <formula1>"通过,降级(L3),待确认,未完成"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44"/>
  <sheetViews>
    <sheetView zoomScaleNormal="100" workbookViewId="0"/>
  </sheetViews>
  <sheetFormatPr defaultColWidth="8.6328125" defaultRowHeight="14.5"/>
  <cols>
    <col min="1" max="1" width="7" customWidth="1"/>
    <col min="2" max="2" width="34" customWidth="1"/>
    <col min="3" max="3" width="60" customWidth="1"/>
    <col min="4" max="4" width="40" customWidth="1"/>
    <col min="5" max="5" width="14" customWidth="1"/>
  </cols>
  <sheetData>
    <row r="1" spans="1:5" ht="18">
      <c r="A1" s="1" t="s">
        <v>1159</v>
      </c>
    </row>
    <row r="2" spans="1:5">
      <c r="A2" s="9" t="s">
        <v>1160</v>
      </c>
    </row>
    <row r="4" spans="1:5" ht="126">
      <c r="A4" s="4" t="s">
        <v>1161</v>
      </c>
      <c r="B4" s="3"/>
      <c r="C4" s="3"/>
      <c r="D4" s="3"/>
      <c r="E4" s="3"/>
    </row>
    <row r="5" spans="1:5">
      <c r="A5" s="10" t="s">
        <v>637</v>
      </c>
      <c r="B5" s="10" t="s">
        <v>1162</v>
      </c>
      <c r="C5" s="10" t="s">
        <v>1163</v>
      </c>
      <c r="D5" s="10" t="s">
        <v>1164</v>
      </c>
      <c r="E5" s="10" t="s">
        <v>1165</v>
      </c>
    </row>
    <row r="6" spans="1:5" ht="25">
      <c r="A6" s="5">
        <v>1</v>
      </c>
      <c r="B6" s="6" t="s">
        <v>1166</v>
      </c>
      <c r="C6" s="6" t="s">
        <v>1167</v>
      </c>
      <c r="D6" s="7" t="s">
        <v>437</v>
      </c>
      <c r="E6" s="6" t="s">
        <v>307</v>
      </c>
    </row>
    <row r="7" spans="1:5" ht="37.5">
      <c r="A7" s="5">
        <v>2</v>
      </c>
      <c r="B7" s="6" t="s">
        <v>1168</v>
      </c>
      <c r="C7" s="6" t="s">
        <v>1169</v>
      </c>
      <c r="D7" s="7" t="s">
        <v>1170</v>
      </c>
      <c r="E7" s="6" t="s">
        <v>307</v>
      </c>
    </row>
    <row r="8" spans="1:5" ht="25">
      <c r="A8" s="5">
        <v>3</v>
      </c>
      <c r="B8" s="6" t="s">
        <v>1171</v>
      </c>
      <c r="C8" s="6" t="s">
        <v>1172</v>
      </c>
      <c r="D8" s="7" t="s">
        <v>1173</v>
      </c>
      <c r="E8" s="6" t="s">
        <v>1174</v>
      </c>
    </row>
    <row r="9" spans="1:5" ht="25">
      <c r="A9" s="5">
        <v>4</v>
      </c>
      <c r="B9" s="6" t="s">
        <v>1175</v>
      </c>
      <c r="C9" s="6" t="s">
        <v>1176</v>
      </c>
      <c r="D9" s="7" t="s">
        <v>1177</v>
      </c>
      <c r="E9" s="6" t="s">
        <v>307</v>
      </c>
    </row>
    <row r="10" spans="1:5" ht="25">
      <c r="A10" s="5">
        <v>5</v>
      </c>
      <c r="B10" s="6" t="s">
        <v>1178</v>
      </c>
      <c r="C10" s="6" t="s">
        <v>1179</v>
      </c>
      <c r="D10" s="7" t="s">
        <v>287</v>
      </c>
      <c r="E10" s="6" t="s">
        <v>307</v>
      </c>
    </row>
    <row r="11" spans="1:5" ht="25">
      <c r="A11" s="5">
        <v>6</v>
      </c>
      <c r="B11" s="6" t="s">
        <v>1180</v>
      </c>
      <c r="C11" s="6" t="s">
        <v>1181</v>
      </c>
      <c r="D11" s="7" t="s">
        <v>293</v>
      </c>
      <c r="E11" s="6" t="s">
        <v>307</v>
      </c>
    </row>
    <row r="12" spans="1:5" ht="25">
      <c r="A12" s="5">
        <v>7</v>
      </c>
      <c r="B12" s="6" t="s">
        <v>1182</v>
      </c>
      <c r="C12" s="6" t="s">
        <v>1183</v>
      </c>
      <c r="D12" s="7" t="s">
        <v>1184</v>
      </c>
      <c r="E12" s="6" t="s">
        <v>68</v>
      </c>
    </row>
    <row r="14" spans="1:5" ht="168">
      <c r="A14" s="4" t="s">
        <v>1185</v>
      </c>
      <c r="B14" s="3"/>
      <c r="C14" s="3"/>
      <c r="D14" s="3"/>
      <c r="E14" s="3"/>
    </row>
    <row r="15" spans="1:5">
      <c r="A15" s="10" t="s">
        <v>1186</v>
      </c>
      <c r="B15" s="10" t="s">
        <v>1187</v>
      </c>
      <c r="C15" s="10" t="s">
        <v>1188</v>
      </c>
      <c r="D15" s="10" t="s">
        <v>1189</v>
      </c>
      <c r="E15" s="10" t="s">
        <v>1190</v>
      </c>
    </row>
    <row r="16" spans="1:5" ht="25">
      <c r="A16" s="5">
        <v>1</v>
      </c>
      <c r="B16" s="6" t="s">
        <v>1191</v>
      </c>
      <c r="C16" s="6" t="s">
        <v>1192</v>
      </c>
      <c r="D16" s="6" t="s">
        <v>1193</v>
      </c>
      <c r="E16" s="6" t="s">
        <v>1194</v>
      </c>
    </row>
    <row r="17" spans="1:5">
      <c r="A17" s="5">
        <v>2</v>
      </c>
      <c r="B17" s="6" t="s">
        <v>1195</v>
      </c>
      <c r="C17" s="6" t="s">
        <v>1196</v>
      </c>
      <c r="D17" s="6" t="s">
        <v>1197</v>
      </c>
      <c r="E17" s="6" t="s">
        <v>68</v>
      </c>
    </row>
    <row r="18" spans="1:5">
      <c r="A18" s="5">
        <v>3</v>
      </c>
      <c r="B18" s="6" t="s">
        <v>1198</v>
      </c>
      <c r="C18" s="6" t="s">
        <v>1199</v>
      </c>
      <c r="D18" s="6" t="s">
        <v>1197</v>
      </c>
      <c r="E18" s="6" t="s">
        <v>1200</v>
      </c>
    </row>
    <row r="19" spans="1:5">
      <c r="A19" s="5">
        <v>4</v>
      </c>
      <c r="B19" s="6" t="s">
        <v>1201</v>
      </c>
      <c r="C19" s="6" t="s">
        <v>1202</v>
      </c>
      <c r="D19" s="6" t="s">
        <v>1203</v>
      </c>
      <c r="E19" s="6" t="s">
        <v>74</v>
      </c>
    </row>
    <row r="20" spans="1:5">
      <c r="A20" s="5">
        <v>5</v>
      </c>
      <c r="B20" s="6" t="s">
        <v>1204</v>
      </c>
      <c r="C20" s="6" t="s">
        <v>1205</v>
      </c>
      <c r="D20" s="6" t="s">
        <v>1206</v>
      </c>
      <c r="E20" s="6" t="s">
        <v>68</v>
      </c>
    </row>
    <row r="21" spans="1:5">
      <c r="A21" s="5">
        <v>6</v>
      </c>
      <c r="B21" s="6" t="s">
        <v>1207</v>
      </c>
      <c r="C21" s="6" t="s">
        <v>1208</v>
      </c>
      <c r="D21" s="6" t="s">
        <v>1203</v>
      </c>
      <c r="E21" s="6" t="s">
        <v>62</v>
      </c>
    </row>
    <row r="22" spans="1:5">
      <c r="A22" s="5">
        <v>7</v>
      </c>
      <c r="B22" s="6" t="s">
        <v>1209</v>
      </c>
      <c r="C22" s="6" t="s">
        <v>1210</v>
      </c>
      <c r="D22" s="6" t="s">
        <v>1211</v>
      </c>
      <c r="E22" s="6" t="s">
        <v>1200</v>
      </c>
    </row>
    <row r="23" spans="1:5">
      <c r="A23" s="5">
        <v>8</v>
      </c>
      <c r="B23" s="6" t="s">
        <v>1212</v>
      </c>
      <c r="C23" s="6" t="s">
        <v>1213</v>
      </c>
      <c r="D23" s="6" t="s">
        <v>1203</v>
      </c>
      <c r="E23" s="6" t="s">
        <v>74</v>
      </c>
    </row>
    <row r="25" spans="1:5" ht="70">
      <c r="A25" s="4" t="s">
        <v>1214</v>
      </c>
      <c r="B25" s="3"/>
      <c r="C25" s="3"/>
      <c r="D25" s="3"/>
      <c r="E25" s="3"/>
    </row>
    <row r="26" spans="1:5">
      <c r="A26" s="10" t="s">
        <v>637</v>
      </c>
      <c r="B26" s="10" t="s">
        <v>1215</v>
      </c>
      <c r="C26" s="10" t="s">
        <v>1216</v>
      </c>
      <c r="D26" s="10" t="s">
        <v>1217</v>
      </c>
      <c r="E26" s="10"/>
    </row>
    <row r="27" spans="1:5">
      <c r="A27" s="5">
        <v>1</v>
      </c>
      <c r="B27" s="6" t="s">
        <v>1218</v>
      </c>
      <c r="C27" s="7" t="s">
        <v>1219</v>
      </c>
      <c r="D27" s="7" t="s">
        <v>1220</v>
      </c>
      <c r="E27" s="7"/>
    </row>
    <row r="28" spans="1:5" ht="25">
      <c r="A28" s="5">
        <v>2</v>
      </c>
      <c r="B28" s="6" t="s">
        <v>1221</v>
      </c>
      <c r="C28" s="6" t="s">
        <v>1222</v>
      </c>
      <c r="D28" s="7" t="s">
        <v>1223</v>
      </c>
      <c r="E28" s="7"/>
    </row>
    <row r="29" spans="1:5" ht="25">
      <c r="A29" s="5">
        <v>3</v>
      </c>
      <c r="B29" s="6" t="s">
        <v>1224</v>
      </c>
      <c r="C29" s="6" t="s">
        <v>1225</v>
      </c>
      <c r="D29" s="7" t="s">
        <v>1226</v>
      </c>
      <c r="E29" s="7"/>
    </row>
    <row r="30" spans="1:5" ht="37.5">
      <c r="A30" s="5">
        <v>4</v>
      </c>
      <c r="B30" s="6" t="s">
        <v>1227</v>
      </c>
      <c r="C30" s="6" t="s">
        <v>1228</v>
      </c>
      <c r="D30" s="7" t="s">
        <v>1229</v>
      </c>
      <c r="E30" s="7"/>
    </row>
    <row r="31" spans="1:5" ht="25">
      <c r="A31" s="5">
        <v>5</v>
      </c>
      <c r="B31" s="6" t="s">
        <v>1230</v>
      </c>
      <c r="C31" s="7" t="s">
        <v>1231</v>
      </c>
      <c r="D31" s="7" t="s">
        <v>1232</v>
      </c>
      <c r="E31" s="7"/>
    </row>
    <row r="33" spans="1:5" ht="42">
      <c r="A33" s="4" t="s">
        <v>1233</v>
      </c>
      <c r="B33" s="3"/>
      <c r="C33" s="3"/>
      <c r="D33" s="3"/>
      <c r="E33" s="3"/>
    </row>
    <row r="34" spans="1:5">
      <c r="A34" s="10" t="s">
        <v>637</v>
      </c>
      <c r="B34" s="10" t="s">
        <v>1234</v>
      </c>
      <c r="C34" s="10" t="s">
        <v>1235</v>
      </c>
      <c r="D34" s="10" t="s">
        <v>1236</v>
      </c>
      <c r="E34" s="10" t="s">
        <v>1190</v>
      </c>
    </row>
    <row r="35" spans="1:5" ht="25">
      <c r="A35" s="5">
        <v>1</v>
      </c>
      <c r="B35" s="6" t="s">
        <v>1237</v>
      </c>
      <c r="C35" s="6" t="s">
        <v>1238</v>
      </c>
      <c r="D35" s="6" t="s">
        <v>1239</v>
      </c>
      <c r="E35" s="6" t="s">
        <v>307</v>
      </c>
    </row>
    <row r="36" spans="1:5">
      <c r="A36" s="5">
        <v>2</v>
      </c>
      <c r="B36" s="6" t="s">
        <v>1240</v>
      </c>
      <c r="C36" s="7" t="s">
        <v>1241</v>
      </c>
      <c r="D36" s="6" t="s">
        <v>1242</v>
      </c>
      <c r="E36" s="6" t="s">
        <v>68</v>
      </c>
    </row>
    <row r="37" spans="1:5" ht="25">
      <c r="A37" s="5">
        <v>3</v>
      </c>
      <c r="B37" s="6" t="s">
        <v>1243</v>
      </c>
      <c r="C37" s="6" t="s">
        <v>1244</v>
      </c>
      <c r="D37" s="6" t="s">
        <v>1245</v>
      </c>
      <c r="E37" s="6" t="s">
        <v>68</v>
      </c>
    </row>
    <row r="38" spans="1:5">
      <c r="A38" s="5">
        <v>4</v>
      </c>
      <c r="B38" s="6" t="s">
        <v>1246</v>
      </c>
      <c r="C38" s="7" t="s">
        <v>1247</v>
      </c>
      <c r="D38" s="6" t="s">
        <v>1248</v>
      </c>
      <c r="E38" s="6" t="s">
        <v>1249</v>
      </c>
    </row>
    <row r="39" spans="1:5">
      <c r="A39" s="5">
        <v>5</v>
      </c>
      <c r="B39" s="6" t="s">
        <v>1250</v>
      </c>
      <c r="C39" s="6" t="s">
        <v>1251</v>
      </c>
      <c r="D39" s="6" t="s">
        <v>1252</v>
      </c>
      <c r="E39" s="6" t="s">
        <v>1253</v>
      </c>
    </row>
    <row r="40" spans="1:5">
      <c r="A40" s="5">
        <v>6</v>
      </c>
      <c r="B40" s="6" t="s">
        <v>1254</v>
      </c>
      <c r="C40" s="7" t="s">
        <v>1255</v>
      </c>
      <c r="D40" s="6" t="s">
        <v>1256</v>
      </c>
      <c r="E40" s="6" t="s">
        <v>307</v>
      </c>
    </row>
    <row r="41" spans="1:5">
      <c r="A41" s="5">
        <v>7</v>
      </c>
      <c r="B41" s="6" t="s">
        <v>1257</v>
      </c>
      <c r="C41" s="6" t="s">
        <v>1258</v>
      </c>
      <c r="D41" s="6" t="s">
        <v>1259</v>
      </c>
      <c r="E41" s="6" t="s">
        <v>68</v>
      </c>
    </row>
    <row r="42" spans="1:5" ht="25">
      <c r="A42" s="5">
        <v>8</v>
      </c>
      <c r="B42" s="6" t="s">
        <v>1260</v>
      </c>
      <c r="C42" s="6" t="s">
        <v>1261</v>
      </c>
      <c r="D42" s="6" t="s">
        <v>1262</v>
      </c>
      <c r="E42" s="6" t="s">
        <v>68</v>
      </c>
    </row>
    <row r="43" spans="1:5">
      <c r="A43" s="5">
        <v>9</v>
      </c>
      <c r="B43" s="6" t="s">
        <v>1263</v>
      </c>
      <c r="C43" s="6" t="s">
        <v>1264</v>
      </c>
      <c r="D43" s="6" t="s">
        <v>1265</v>
      </c>
      <c r="E43" s="6" t="s">
        <v>68</v>
      </c>
    </row>
    <row r="44" spans="1:5" ht="25">
      <c r="A44" s="5">
        <v>10</v>
      </c>
      <c r="B44" s="6" t="s">
        <v>1266</v>
      </c>
      <c r="C44" s="6" t="s">
        <v>1267</v>
      </c>
      <c r="D44" s="6" t="s">
        <v>1268</v>
      </c>
      <c r="E44" s="6" t="s">
        <v>307</v>
      </c>
    </row>
  </sheetData>
  <phoneticPr fontId="27" type="noConversion"/>
  <pageMargins left="0.4" right="0.4" top="0.5" bottom="0.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总览</vt:lpstr>
      <vt:lpstr>分工总览</vt:lpstr>
      <vt:lpstr>每日排期</vt:lpstr>
      <vt:lpstr>成员1-组长前端</vt:lpstr>
      <vt:lpstr>成员2-底座后端</vt:lpstr>
      <vt:lpstr>成员3-报名审核</vt:lpstr>
      <vt:lpstr>成员4-人员球队</vt:lpstr>
      <vt:lpstr>成员5-赛事门户</vt:lpstr>
      <vt:lpstr>成员6-门户遴选</vt:lpstr>
      <vt:lpstr>优化后功能框架</vt:lpstr>
      <vt:lpstr>原244功能核对</vt:lpstr>
      <vt:lpstr>风险与砍法</vt:lpstr>
      <vt:lpstr>'成员1-组长前端'!Print_Titles</vt:lpstr>
      <vt:lpstr>'成员2-底座后端'!Print_Titles</vt:lpstr>
      <vt:lpstr>'成员3-报名审核'!Print_Titles</vt:lpstr>
      <vt:lpstr>'成员4-人员球队'!Print_Titles</vt:lpstr>
      <vt:lpstr>'成员5-赛事门户'!Print_Titles</vt:lpstr>
      <vt:lpstr>'成员6-门户遴选'!Print_Titles</vt:lpstr>
      <vt:lpstr>分工总览!Print_Titles</vt:lpstr>
      <vt:lpstr>每日排期!Print_Titles</vt:lpstr>
      <vt:lpstr>优化后功能框架!Print_Titles</vt:lpstr>
      <vt:lpstr>原244功能核对!Print_Titles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艺 任</cp:lastModifiedBy>
  <cp:revision>0</cp:revision>
  <dcterms:created xsi:type="dcterms:W3CDTF">2026-10-19T07:54:14Z</dcterms:created>
  <dcterms:modified xsi:type="dcterms:W3CDTF">2026-10-19T08:01:17Z</dcterms:modified>
  <dc:language>en-US</dc:language>
</cp:coreProperties>
</file>